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ลูกแก้ว\outsource\"/>
    </mc:Choice>
  </mc:AlternateContent>
  <bookViews>
    <workbookView xWindow="0" yWindow="0" windowWidth="28800" windowHeight="11280"/>
  </bookViews>
  <sheets>
    <sheet name="Sheet2" sheetId="4" r:id="rId1"/>
    <sheet name="Sheet1" sheetId="2" state="hidden" r:id="rId2"/>
  </sheets>
  <calcPr calcId="162913"/>
</workbook>
</file>

<file path=xl/calcChain.xml><?xml version="1.0" encoding="utf-8"?>
<calcChain xmlns="http://schemas.openxmlformats.org/spreadsheetml/2006/main">
  <c r="R45" i="2" l="1"/>
  <c r="Q45" i="2"/>
  <c r="P45" i="2"/>
  <c r="R44" i="2"/>
  <c r="Q44" i="2"/>
  <c r="P44" i="2"/>
  <c r="Q43" i="2"/>
  <c r="R43" i="2" s="1"/>
  <c r="P43" i="2"/>
  <c r="Q42" i="2"/>
  <c r="R42" i="2" s="1"/>
  <c r="P42" i="2"/>
  <c r="R41" i="2"/>
  <c r="Q41" i="2"/>
  <c r="P41" i="2"/>
  <c r="R40" i="2"/>
  <c r="Q40" i="2"/>
  <c r="P40" i="2"/>
  <c r="Q39" i="2"/>
  <c r="R39" i="2" s="1"/>
  <c r="P39" i="2"/>
  <c r="Q38" i="2"/>
  <c r="R38" i="2" s="1"/>
  <c r="P38" i="2"/>
  <c r="R37" i="2"/>
  <c r="Q37" i="2"/>
  <c r="P37" i="2"/>
  <c r="R36" i="2"/>
  <c r="Q36" i="2"/>
  <c r="P36" i="2"/>
  <c r="O28" i="2"/>
  <c r="P26" i="2"/>
  <c r="P25" i="2"/>
  <c r="AA13" i="2"/>
  <c r="Z13" i="2"/>
  <c r="W13" i="2"/>
  <c r="X13" i="2" s="1"/>
  <c r="P28" i="2" s="1"/>
  <c r="V13" i="2"/>
  <c r="AA12" i="2"/>
  <c r="Z12" i="2"/>
  <c r="W12" i="2"/>
  <c r="X12" i="2" s="1"/>
  <c r="P27" i="2" s="1"/>
  <c r="V12" i="2"/>
  <c r="O27" i="2" s="1"/>
  <c r="AA11" i="2"/>
  <c r="Z11" i="2"/>
  <c r="X11" i="2"/>
  <c r="W11" i="2"/>
  <c r="V11" i="2"/>
  <c r="O26" i="2" s="1"/>
  <c r="AA10" i="2"/>
  <c r="Z10" i="2"/>
  <c r="X10" i="2"/>
  <c r="W10" i="2"/>
  <c r="V10" i="2"/>
  <c r="O25" i="2" s="1"/>
  <c r="AA9" i="2"/>
  <c r="Z9" i="2"/>
  <c r="X9" i="2"/>
  <c r="W9" i="2"/>
  <c r="V9" i="2"/>
  <c r="AA8" i="2"/>
  <c r="Z8" i="2"/>
  <c r="X8" i="2"/>
  <c r="W8" i="2"/>
  <c r="V8" i="2"/>
  <c r="AA7" i="2"/>
  <c r="Z7" i="2"/>
  <c r="X7" i="2"/>
  <c r="W7" i="2"/>
  <c r="V7" i="2"/>
  <c r="AA6" i="2"/>
  <c r="Z6" i="2"/>
  <c r="X6" i="2"/>
  <c r="W6" i="2"/>
  <c r="V6" i="2"/>
  <c r="AA5" i="2"/>
  <c r="Z5" i="2"/>
  <c r="X5" i="2"/>
  <c r="W5" i="2"/>
  <c r="V5" i="2"/>
  <c r="AA4" i="2"/>
  <c r="Z4" i="2"/>
  <c r="W4" i="2"/>
  <c r="X4" i="2" s="1"/>
  <c r="V4" i="2"/>
</calcChain>
</file>

<file path=xl/sharedStrings.xml><?xml version="1.0" encoding="utf-8"?>
<sst xmlns="http://schemas.openxmlformats.org/spreadsheetml/2006/main" count="160" uniqueCount="75">
  <si>
    <t>*ALL</t>
  </si>
  <si>
    <t>TOTAL-WORK</t>
  </si>
  <si>
    <t>|</t>
  </si>
  <si>
    <t>_MEMBER</t>
  </si>
  <si>
    <t>-</t>
  </si>
  <si>
    <t>LEAVED_</t>
  </si>
  <si>
    <t>&lt;-------</t>
  </si>
  <si>
    <t>---------</t>
  </si>
  <si>
    <t>--------</t>
  </si>
  <si>
    <t>T  O  T</t>
  </si>
  <si>
    <t>A  L</t>
  </si>
  <si>
    <t>L  E  A</t>
  </si>
  <si>
    <t>V  E</t>
  </si>
  <si>
    <t>D  A  Y</t>
  </si>
  <si>
    <t>--------&gt;</t>
  </si>
  <si>
    <t>TOTAL-LEAVE</t>
  </si>
  <si>
    <t>PERCENT-LV</t>
  </si>
  <si>
    <t>Leave per day</t>
  </si>
  <si>
    <t>Ugently Leave</t>
  </si>
  <si>
    <t>Ugent Leave Per day</t>
  </si>
  <si>
    <t>Day calendar</t>
  </si>
  <si>
    <t>Divsion</t>
  </si>
  <si>
    <t>MEMBER</t>
  </si>
  <si>
    <t>DAY</t>
  </si>
  <si>
    <t>TOTAL</t>
  </si>
  <si>
    <t>( % )</t>
  </si>
  <si>
    <t>Annual</t>
  </si>
  <si>
    <t>Sick-LV</t>
  </si>
  <si>
    <t>Matnity</t>
  </si>
  <si>
    <t>MonkHood</t>
  </si>
  <si>
    <t>CompasLV</t>
  </si>
  <si>
    <t>Pnl-LV</t>
  </si>
  <si>
    <t>Accident</t>
  </si>
  <si>
    <t>Marry-LV</t>
  </si>
  <si>
    <t>Exc-Army</t>
  </si>
  <si>
    <t>Other-LV</t>
  </si>
  <si>
    <t>ABSENT</t>
  </si>
  <si>
    <t>AGA</t>
  </si>
  <si>
    <t>BALL</t>
  </si>
  <si>
    <t>DIECAST</t>
  </si>
  <si>
    <t>ERS</t>
  </si>
  <si>
    <t>FDB FAN MOTOR</t>
  </si>
  <si>
    <t>FDB</t>
  </si>
  <si>
    <t>G/M</t>
  </si>
  <si>
    <t>LSM</t>
  </si>
  <si>
    <t>MA</t>
  </si>
  <si>
    <t>NHB BEARING</t>
  </si>
  <si>
    <t>NHT BEARING</t>
  </si>
  <si>
    <t>NAT</t>
  </si>
  <si>
    <t>PCMS (BPI)</t>
  </si>
  <si>
    <t>PELMEC BEARING</t>
  </si>
  <si>
    <t>PBF</t>
  </si>
  <si>
    <t>PRESS BANGPAIN</t>
  </si>
  <si>
    <t>PRESS IN NHT</t>
  </si>
  <si>
    <t>PMC</t>
  </si>
  <si>
    <t>SPD</t>
  </si>
  <si>
    <t>PTD</t>
  </si>
  <si>
    <t>BLC</t>
  </si>
  <si>
    <t>RUBBER SEAL</t>
  </si>
  <si>
    <t>Month</t>
  </si>
  <si>
    <t>AL</t>
  </si>
  <si>
    <t>AL(%)</t>
  </si>
  <si>
    <t>SL+PL</t>
  </si>
  <si>
    <t>SL+PL (%)</t>
  </si>
  <si>
    <t>%</t>
  </si>
  <si>
    <t>*ALL MEMBER</t>
  </si>
  <si>
    <t>TOTAL-WORKDAY</t>
  </si>
  <si>
    <t>_MEMBER TOTAL</t>
  </si>
  <si>
    <t>LEAVED_( % )</t>
  </si>
  <si>
    <t>TOTAL-LEAVE DAY</t>
  </si>
  <si>
    <t>PERCENT-LV ( % )</t>
  </si>
  <si>
    <t>Leave per day DAY</t>
  </si>
  <si>
    <t>Ugently Leave DAY</t>
  </si>
  <si>
    <t>Ugent Leave Per day DAY</t>
  </si>
  <si>
    <t>Period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</si>
</sst>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87" formatCode="_-* #,##0_-;\-* #,##0_-;_-* &quot;-&quot;??_-;_-@"/>
    <numFmt numFmtId="188" formatCode="_-* #,##0.0_-;\-* #,##0.0_-;_-* &quot;-&quot;??_-;_-@"/>
    <numFmt numFmtId="189" formatCode="B1mmm\-yy"/>
  </numFmts>
  <fonts count="9" x14ac:knownFonts="1">
    <font>
      <sz val="11"/>
      <color theme="1"/>
      <name val="Tahoma"/>
      <scheme val="minor"/>
    </font>
    <font>
      <sz val="11"/>
      <color theme="1"/>
      <name val="Tahoma"/>
    </font>
    <font>
      <sz val="9"/>
      <color rgb="FF000099"/>
      <name val="Arial"/>
    </font>
    <font>
      <sz val="9"/>
      <color rgb="FFFF0000"/>
      <name val="Arial"/>
    </font>
    <font>
      <sz val="11"/>
      <color rgb="FFFF0000"/>
      <name val="Tahoma"/>
    </font>
    <font>
      <sz val="11"/>
      <color theme="1"/>
      <name val="Tahoma"/>
      <scheme val="minor"/>
    </font>
    <font>
      <sz val="11"/>
      <color theme="1"/>
      <name val="Tahoma"/>
      <family val="2"/>
      <scheme val="minor"/>
    </font>
    <font>
      <sz val="11"/>
      <color rgb="FFFF0000"/>
      <name val="Tahoma"/>
      <family val="2"/>
      <scheme val="minor"/>
    </font>
    <font>
      <sz val="10"/>
      <color theme="1"/>
      <name val="Tahoma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FFCCCC"/>
        <bgColor rgb="FFFFCCCC"/>
      </patternFill>
    </fill>
    <fill>
      <patternFill patternType="solid">
        <fgColor rgb="FFADB9CA"/>
        <bgColor rgb="FFADB9CA"/>
      </patternFill>
    </fill>
    <fill>
      <patternFill patternType="solid">
        <fgColor rgb="FFECECEC"/>
        <bgColor rgb="FFECECEC"/>
      </patternFill>
    </fill>
    <fill>
      <patternFill patternType="solid">
        <fgColor rgb="FFFFFF00"/>
        <bgColor rgb="FFFFFF00"/>
      </patternFill>
    </fill>
    <fill>
      <patternFill patternType="solid">
        <fgColor rgb="FFC5E0B3"/>
        <bgColor rgb="FFC5E0B3"/>
      </patternFill>
    </fill>
    <fill>
      <patternFill patternType="solid">
        <fgColor rgb="FFB4C6E7"/>
        <bgColor rgb="FFB4C6E7"/>
      </patternFill>
    </fill>
    <fill>
      <patternFill patternType="solid">
        <fgColor rgb="FFDEEAF6"/>
        <bgColor rgb="FFDEEAF6"/>
      </patternFill>
    </fill>
    <fill>
      <patternFill patternType="solid">
        <fgColor rgb="FFFBE4D5"/>
        <bgColor rgb="FFFBE4D5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FE2F3"/>
        <bgColor indexed="64"/>
      </patternFill>
    </fill>
    <fill>
      <patternFill patternType="solid">
        <fgColor rgb="FFD9D2E9"/>
        <bgColor indexed="64"/>
      </patternFill>
    </fill>
    <fill>
      <patternFill patternType="solid">
        <fgColor theme="9" tint="0.79998168889431442"/>
        <bgColor rgb="FFFFCCCC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5">
    <xf numFmtId="0" fontId="0" fillId="0" borderId="0" xfId="0" applyFont="1" applyAlignment="1"/>
    <xf numFmtId="49" fontId="1" fillId="0" borderId="0" xfId="0" applyNumberFormat="1" applyFont="1"/>
    <xf numFmtId="49" fontId="1" fillId="2" borderId="1" xfId="0" applyNumberFormat="1" applyFont="1" applyFill="1" applyBorder="1"/>
    <xf numFmtId="0" fontId="1" fillId="2" borderId="1" xfId="0" applyFont="1" applyFill="1" applyBorder="1"/>
    <xf numFmtId="0" fontId="1" fillId="3" borderId="1" xfId="0" applyFont="1" applyFill="1" applyBorder="1"/>
    <xf numFmtId="0" fontId="2" fillId="4" borderId="1" xfId="0" applyFont="1" applyFill="1" applyBorder="1"/>
    <xf numFmtId="0" fontId="3" fillId="4" borderId="1" xfId="0" applyFont="1" applyFill="1" applyBorder="1"/>
    <xf numFmtId="187" fontId="3" fillId="4" borderId="1" xfId="0" applyNumberFormat="1" applyFont="1" applyFill="1" applyBorder="1" applyAlignment="1">
      <alignment horizontal="left"/>
    </xf>
    <xf numFmtId="0" fontId="1" fillId="4" borderId="1" xfId="0" applyFont="1" applyFill="1" applyBorder="1"/>
    <xf numFmtId="0" fontId="2" fillId="4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188" fontId="3" fillId="4" borderId="1" xfId="0" applyNumberFormat="1" applyFont="1" applyFill="1" applyBorder="1" applyAlignment="1">
      <alignment horizontal="center"/>
    </xf>
    <xf numFmtId="10" fontId="1" fillId="0" borderId="0" xfId="0" applyNumberFormat="1" applyFont="1"/>
    <xf numFmtId="0" fontId="1" fillId="0" borderId="0" xfId="0" applyFont="1" applyAlignment="1">
      <alignment horizontal="center"/>
    </xf>
    <xf numFmtId="0" fontId="1" fillId="0" borderId="0" xfId="0" applyFont="1" applyAlignment="1"/>
    <xf numFmtId="17" fontId="1" fillId="0" borderId="0" xfId="0" applyNumberFormat="1" applyFont="1"/>
    <xf numFmtId="3" fontId="1" fillId="0" borderId="0" xfId="0" applyNumberFormat="1" applyFont="1"/>
    <xf numFmtId="4" fontId="1" fillId="0" borderId="0" xfId="0" applyNumberFormat="1" applyFont="1"/>
    <xf numFmtId="0" fontId="1" fillId="0" borderId="0" xfId="0" applyFont="1"/>
    <xf numFmtId="2" fontId="1" fillId="0" borderId="0" xfId="0" applyNumberFormat="1" applyFont="1"/>
    <xf numFmtId="0" fontId="5" fillId="0" borderId="0" xfId="0" applyFont="1"/>
    <xf numFmtId="9" fontId="1" fillId="0" borderId="0" xfId="0" applyNumberFormat="1" applyFont="1"/>
    <xf numFmtId="0" fontId="1" fillId="5" borderId="1" xfId="0" applyFont="1" applyFill="1" applyBorder="1"/>
    <xf numFmtId="0" fontId="1" fillId="6" borderId="1" xfId="0" applyFont="1" applyFill="1" applyBorder="1"/>
    <xf numFmtId="4" fontId="1" fillId="7" borderId="1" xfId="0" applyNumberFormat="1" applyFont="1" applyFill="1" applyBorder="1"/>
    <xf numFmtId="10" fontId="4" fillId="7" borderId="1" xfId="0" applyNumberFormat="1" applyFont="1" applyFill="1" applyBorder="1"/>
    <xf numFmtId="2" fontId="1" fillId="8" borderId="1" xfId="0" applyNumberFormat="1" applyFont="1" applyFill="1" applyBorder="1"/>
    <xf numFmtId="2" fontId="1" fillId="9" borderId="1" xfId="0" applyNumberFormat="1" applyFont="1" applyFill="1" applyBorder="1"/>
    <xf numFmtId="189" fontId="0" fillId="10" borderId="0" xfId="0" applyNumberFormat="1" applyFont="1" applyFill="1" applyAlignment="1"/>
    <xf numFmtId="189" fontId="0" fillId="11" borderId="0" xfId="0" applyNumberFormat="1" applyFont="1" applyFill="1" applyAlignment="1"/>
    <xf numFmtId="0" fontId="6" fillId="12" borderId="0" xfId="0" applyFont="1" applyFill="1" applyAlignment="1">
      <alignment horizontal="center" wrapText="1"/>
    </xf>
    <xf numFmtId="10" fontId="6" fillId="13" borderId="0" xfId="0" applyNumberFormat="1" applyFont="1" applyFill="1" applyAlignment="1">
      <alignment horizontal="center" wrapText="1"/>
    </xf>
    <xf numFmtId="0" fontId="6" fillId="12" borderId="0" xfId="0" applyFont="1" applyFill="1" applyAlignment="1">
      <alignment wrapText="1"/>
    </xf>
    <xf numFmtId="0" fontId="6" fillId="13" borderId="0" xfId="0" applyFont="1" applyFill="1" applyAlignment="1">
      <alignment wrapText="1"/>
    </xf>
    <xf numFmtId="0" fontId="6" fillId="0" borderId="0" xfId="0" applyFont="1" applyAlignment="1">
      <alignment wrapText="1"/>
    </xf>
    <xf numFmtId="10" fontId="7" fillId="13" borderId="0" xfId="0" applyNumberFormat="1" applyFont="1" applyFill="1" applyAlignment="1">
      <alignment horizontal="center" wrapText="1"/>
    </xf>
    <xf numFmtId="0" fontId="6" fillId="14" borderId="0" xfId="0" applyFont="1" applyFill="1" applyAlignment="1">
      <alignment horizontal="center" wrapText="1"/>
    </xf>
    <xf numFmtId="0" fontId="6" fillId="13" borderId="0" xfId="0" applyFont="1" applyFill="1" applyAlignment="1">
      <alignment horizontal="center" wrapText="1"/>
    </xf>
    <xf numFmtId="0" fontId="6" fillId="15" borderId="0" xfId="0" applyFont="1" applyFill="1" applyAlignment="1">
      <alignment horizontal="center" wrapText="1"/>
    </xf>
    <xf numFmtId="10" fontId="7" fillId="0" borderId="0" xfId="0" applyNumberFormat="1" applyFont="1" applyAlignment="1">
      <alignment horizontal="center" wrapText="1"/>
    </xf>
    <xf numFmtId="0" fontId="6" fillId="0" borderId="0" xfId="0" applyFont="1" applyAlignment="1">
      <alignment horizontal="center" wrapText="1"/>
    </xf>
    <xf numFmtId="9" fontId="6" fillId="0" borderId="0" xfId="0" applyNumberFormat="1" applyFont="1" applyAlignment="1">
      <alignment horizontal="center" wrapText="1"/>
    </xf>
    <xf numFmtId="10" fontId="6" fillId="0" borderId="0" xfId="0" applyNumberFormat="1" applyFont="1" applyAlignment="1">
      <alignment horizontal="center" wrapText="1"/>
    </xf>
    <xf numFmtId="0" fontId="6" fillId="14" borderId="0" xfId="0" applyFont="1" applyFill="1" applyAlignment="1">
      <alignment wrapText="1"/>
    </xf>
    <xf numFmtId="0" fontId="6" fillId="15" borderId="0" xfId="0" applyFont="1" applyFill="1" applyAlignment="1">
      <alignment wrapText="1"/>
    </xf>
    <xf numFmtId="0" fontId="0" fillId="0" borderId="0" xfId="0" applyFont="1" applyFill="1" applyAlignment="1"/>
    <xf numFmtId="0" fontId="0" fillId="11" borderId="0" xfId="0" applyFont="1" applyFill="1" applyAlignment="1"/>
    <xf numFmtId="49" fontId="1" fillId="16" borderId="1" xfId="0" applyNumberFormat="1" applyFont="1" applyFill="1" applyBorder="1"/>
    <xf numFmtId="0" fontId="1" fillId="11" borderId="1" xfId="0" applyFont="1" applyFill="1" applyBorder="1"/>
    <xf numFmtId="0" fontId="2" fillId="11" borderId="1" xfId="0" applyFont="1" applyFill="1" applyBorder="1" applyAlignment="1">
      <alignment horizontal="center"/>
    </xf>
    <xf numFmtId="0" fontId="3" fillId="11" borderId="1" xfId="0" applyFont="1" applyFill="1" applyBorder="1" applyAlignment="1">
      <alignment horizontal="center"/>
    </xf>
    <xf numFmtId="188" fontId="3" fillId="11" borderId="1" xfId="0" applyNumberFormat="1" applyFont="1" applyFill="1" applyBorder="1" applyAlignment="1">
      <alignment horizontal="center"/>
    </xf>
    <xf numFmtId="9" fontId="0" fillId="11" borderId="0" xfId="0" applyNumberFormat="1" applyFont="1" applyFill="1" applyAlignment="1"/>
    <xf numFmtId="0" fontId="8" fillId="12" borderId="0" xfId="0" applyFont="1" applyFill="1" applyAlignment="1">
      <alignment horizontal="center" wrapText="1"/>
    </xf>
    <xf numFmtId="4" fontId="6" fillId="12" borderId="0" xfId="0" applyNumberFormat="1" applyFont="1" applyFill="1" applyAlignment="1">
      <alignment horizontal="center" wrapText="1"/>
    </xf>
  </cellXfs>
  <cellStyles count="1">
    <cellStyle name="Normal" xfId="0" builtinId="0"/>
  </cellStyles>
  <dxfs count="3">
    <dxf>
      <fill>
        <patternFill patternType="solid">
          <fgColor theme="0"/>
          <bgColor theme="0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theme="5"/>
          <bgColor theme="5"/>
        </patternFill>
      </fill>
    </dxf>
  </dxfs>
  <tableStyles count="1">
    <tableStyle name="Tarry Early Time Leave Feb 26-style" pivot="0" count="3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tx>
            <c:v>( % )</c:v>
          </c:tx>
          <c:spPr>
            <a:ln w="28575" cmpd="sng">
              <a:solidFill>
                <a:schemeClr val="accent1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0" i="0">
                    <a:latin typeface="+mn-lt"/>
                  </a:defRPr>
                </a:pPr>
                <a:endParaRPr lang="th-TH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Sheet1!$A$19:$A$28</c:f>
              <c:numCache>
                <c:formatCode>mmm\-yy</c:formatCode>
                <c:ptCount val="10"/>
                <c:pt idx="0">
                  <c:v>43800</c:v>
                </c:pt>
                <c:pt idx="1">
                  <c:v>43831</c:v>
                </c:pt>
                <c:pt idx="2">
                  <c:v>43862</c:v>
                </c:pt>
                <c:pt idx="3">
                  <c:v>43891</c:v>
                </c:pt>
                <c:pt idx="4">
                  <c:v>43922</c:v>
                </c:pt>
                <c:pt idx="5">
                  <c:v>43952</c:v>
                </c:pt>
                <c:pt idx="6">
                  <c:v>43983</c:v>
                </c:pt>
                <c:pt idx="7">
                  <c:v>44013</c:v>
                </c:pt>
                <c:pt idx="8">
                  <c:v>44044</c:v>
                </c:pt>
                <c:pt idx="9">
                  <c:v>44075</c:v>
                </c:pt>
              </c:numCache>
            </c:numRef>
          </c:cat>
          <c:val>
            <c:numRef>
              <c:f>Sheet1!$B$19:$B$28</c:f>
              <c:numCache>
                <c:formatCode>0.00%</c:formatCode>
                <c:ptCount val="10"/>
                <c:pt idx="0">
                  <c:v>3.73E-2</c:v>
                </c:pt>
                <c:pt idx="1">
                  <c:v>4.1500000000000002E-2</c:v>
                </c:pt>
                <c:pt idx="2">
                  <c:v>3.6900000000000002E-2</c:v>
                </c:pt>
                <c:pt idx="3">
                  <c:v>3.85E-2</c:v>
                </c:pt>
                <c:pt idx="4">
                  <c:v>3.4500000000000003E-2</c:v>
                </c:pt>
                <c:pt idx="5">
                  <c:v>2.7099999999999999E-2</c:v>
                </c:pt>
                <c:pt idx="6">
                  <c:v>3.44E-2</c:v>
                </c:pt>
                <c:pt idx="7">
                  <c:v>3.5000000000000003E-2</c:v>
                </c:pt>
                <c:pt idx="8">
                  <c:v>3.7199999999999997E-2</c:v>
                </c:pt>
                <c:pt idx="9">
                  <c:v>3.5099999999999999E-2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EE9-4045-A54F-47D65ECD1E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782021"/>
        <c:axId val="1417239676"/>
      </c:lineChart>
      <c:dateAx>
        <c:axId val="378202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mmm\-yy" sourceLinked="1"/>
        <c:majorTickMark val="out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th-TH"/>
          </a:p>
        </c:txPr>
        <c:crossAx val="1417239676"/>
        <c:crosses val="autoZero"/>
        <c:auto val="1"/>
        <c:lblOffset val="100"/>
        <c:baseTimeUnit val="months"/>
      </c:dateAx>
      <c:valAx>
        <c:axId val="141723967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0.00%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th-TH"/>
          </a:p>
        </c:txPr>
        <c:crossAx val="378202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bar"/>
        <c:grouping val="stacked"/>
        <c:varyColors val="1"/>
        <c:ser>
          <c:idx val="0"/>
          <c:order val="0"/>
          <c:tx>
            <c:v>Leave per day</c:v>
          </c:tx>
          <c:spPr>
            <a:solidFill>
              <a:srgbClr val="5B9BD5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0" i="0">
                    <a:latin typeface="+mn-lt"/>
                  </a:defRPr>
                </a:pPr>
                <a:endParaRPr lang="th-TH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Sheet1!$N$19:$N$28</c:f>
              <c:numCache>
                <c:formatCode>mmm\-yy</c:formatCode>
                <c:ptCount val="10"/>
                <c:pt idx="0">
                  <c:v>43800</c:v>
                </c:pt>
                <c:pt idx="1">
                  <c:v>43831</c:v>
                </c:pt>
                <c:pt idx="2">
                  <c:v>43862</c:v>
                </c:pt>
                <c:pt idx="3">
                  <c:v>43891</c:v>
                </c:pt>
                <c:pt idx="4">
                  <c:v>43922</c:v>
                </c:pt>
                <c:pt idx="5">
                  <c:v>43952</c:v>
                </c:pt>
                <c:pt idx="6">
                  <c:v>43983</c:v>
                </c:pt>
                <c:pt idx="7">
                  <c:v>44013</c:v>
                </c:pt>
                <c:pt idx="8">
                  <c:v>44044</c:v>
                </c:pt>
                <c:pt idx="9">
                  <c:v>44075</c:v>
                </c:pt>
              </c:numCache>
            </c:numRef>
          </c:cat>
          <c:val>
            <c:numRef>
              <c:f>Sheet1!$O$19:$O$28</c:f>
              <c:numCache>
                <c:formatCode>0.00</c:formatCode>
                <c:ptCount val="10"/>
                <c:pt idx="0">
                  <c:v>96.282608695652172</c:v>
                </c:pt>
                <c:pt idx="1">
                  <c:v>105.92105263157895</c:v>
                </c:pt>
                <c:pt idx="2">
                  <c:v>95.282608695652172</c:v>
                </c:pt>
                <c:pt idx="3">
                  <c:v>99.565217391304344</c:v>
                </c:pt>
                <c:pt idx="4">
                  <c:v>94.130434782608702</c:v>
                </c:pt>
                <c:pt idx="5">
                  <c:v>74.214285714285708</c:v>
                </c:pt>
                <c:pt idx="6">
                  <c:v>107.91304347826087</c:v>
                </c:pt>
                <c:pt idx="7">
                  <c:v>110.14285714285714</c:v>
                </c:pt>
                <c:pt idx="8">
                  <c:v>117.65217391304348</c:v>
                </c:pt>
                <c:pt idx="9">
                  <c:v>120.02380952380952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5597-43E0-B243-C822F797EB63}"/>
            </c:ext>
          </c:extLst>
        </c:ser>
        <c:ser>
          <c:idx val="1"/>
          <c:order val="1"/>
          <c:tx>
            <c:v>Ugent Leave Per day</c:v>
          </c:tx>
          <c:spPr>
            <a:solidFill>
              <a:srgbClr val="ED7D31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0" i="0">
                    <a:latin typeface="+mn-lt"/>
                  </a:defRPr>
                </a:pPr>
                <a:endParaRPr lang="th-TH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Sheet1!$N$19:$N$28</c:f>
              <c:numCache>
                <c:formatCode>mmm\-yy</c:formatCode>
                <c:ptCount val="10"/>
                <c:pt idx="0">
                  <c:v>43800</c:v>
                </c:pt>
                <c:pt idx="1">
                  <c:v>43831</c:v>
                </c:pt>
                <c:pt idx="2">
                  <c:v>43862</c:v>
                </c:pt>
                <c:pt idx="3">
                  <c:v>43891</c:v>
                </c:pt>
                <c:pt idx="4">
                  <c:v>43922</c:v>
                </c:pt>
                <c:pt idx="5">
                  <c:v>43952</c:v>
                </c:pt>
                <c:pt idx="6">
                  <c:v>43983</c:v>
                </c:pt>
                <c:pt idx="7">
                  <c:v>44013</c:v>
                </c:pt>
                <c:pt idx="8">
                  <c:v>44044</c:v>
                </c:pt>
                <c:pt idx="9">
                  <c:v>44075</c:v>
                </c:pt>
              </c:numCache>
            </c:numRef>
          </c:cat>
          <c:val>
            <c:numRef>
              <c:f>Sheet1!$P$19:$P$28</c:f>
              <c:numCache>
                <c:formatCode>General</c:formatCode>
                <c:ptCount val="10"/>
                <c:pt idx="0">
                  <c:v>35.33</c:v>
                </c:pt>
                <c:pt idx="1">
                  <c:v>36.74</c:v>
                </c:pt>
                <c:pt idx="2">
                  <c:v>43.61</c:v>
                </c:pt>
                <c:pt idx="3">
                  <c:v>38.479999999999997</c:v>
                </c:pt>
                <c:pt idx="4">
                  <c:v>45.13</c:v>
                </c:pt>
                <c:pt idx="5">
                  <c:v>31.17</c:v>
                </c:pt>
                <c:pt idx="6" formatCode="0.00">
                  <c:v>39.108695652173914</c:v>
                </c:pt>
                <c:pt idx="7" formatCode="0.00">
                  <c:v>42.80952380952381</c:v>
                </c:pt>
                <c:pt idx="8" formatCode="0.00">
                  <c:v>49.608695652173914</c:v>
                </c:pt>
                <c:pt idx="9" formatCode="0.00">
                  <c:v>53.285714285714285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5597-43E0-B243-C822F797EB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29732663"/>
        <c:axId val="2050548152"/>
      </c:barChart>
      <c:dateAx>
        <c:axId val="1729732663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mmm\-yy" sourceLinked="1"/>
        <c:majorTickMark val="out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th-TH"/>
          </a:p>
        </c:txPr>
        <c:crossAx val="2050548152"/>
        <c:crosses val="autoZero"/>
        <c:auto val="1"/>
        <c:lblOffset val="100"/>
        <c:baseTimeUnit val="months"/>
      </c:dateAx>
      <c:valAx>
        <c:axId val="2050548152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0.0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th-TH"/>
          </a:p>
        </c:txPr>
        <c:crossAx val="1729732663"/>
        <c:crosses val="max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th-TH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tx>
            <c:v>MEMBER</c:v>
          </c:tx>
          <c:spPr>
            <a:ln w="28575" cmpd="sng">
              <a:solidFill>
                <a:schemeClr val="accent1"/>
              </a:solidFill>
            </a:ln>
          </c:spPr>
          <c:marker>
            <c:symbol val="circle"/>
            <c:size val="5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0" i="0">
                    <a:latin typeface="+mn-lt"/>
                  </a:defRPr>
                </a:pPr>
                <a:endParaRPr lang="th-TH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Sheet1!$A$37:$A$46</c:f>
              <c:numCache>
                <c:formatCode>mmm\-yy</c:formatCode>
                <c:ptCount val="10"/>
                <c:pt idx="0">
                  <c:v>43800</c:v>
                </c:pt>
                <c:pt idx="1">
                  <c:v>43831</c:v>
                </c:pt>
                <c:pt idx="2">
                  <c:v>43862</c:v>
                </c:pt>
                <c:pt idx="3">
                  <c:v>43891</c:v>
                </c:pt>
                <c:pt idx="4">
                  <c:v>43922</c:v>
                </c:pt>
                <c:pt idx="5">
                  <c:v>43952</c:v>
                </c:pt>
                <c:pt idx="6">
                  <c:v>43983</c:v>
                </c:pt>
                <c:pt idx="7">
                  <c:v>44013</c:v>
                </c:pt>
                <c:pt idx="8">
                  <c:v>44044</c:v>
                </c:pt>
                <c:pt idx="9">
                  <c:v>44075</c:v>
                </c:pt>
              </c:numCache>
            </c:numRef>
          </c:cat>
          <c:val>
            <c:numRef>
              <c:f>Sheet1!$B$37:$B$46</c:f>
              <c:numCache>
                <c:formatCode>#,##0</c:formatCode>
                <c:ptCount val="10"/>
                <c:pt idx="0">
                  <c:v>2582</c:v>
                </c:pt>
                <c:pt idx="1">
                  <c:v>2591</c:v>
                </c:pt>
                <c:pt idx="2">
                  <c:v>2594</c:v>
                </c:pt>
                <c:pt idx="3">
                  <c:v>2669</c:v>
                </c:pt>
                <c:pt idx="4">
                  <c:v>2744</c:v>
                </c:pt>
                <c:pt idx="5">
                  <c:v>2738</c:v>
                </c:pt>
                <c:pt idx="6">
                  <c:v>3143</c:v>
                </c:pt>
                <c:pt idx="7">
                  <c:v>3162</c:v>
                </c:pt>
                <c:pt idx="8">
                  <c:v>3163</c:v>
                </c:pt>
                <c:pt idx="9">
                  <c:v>3425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6BE-4754-8700-1B9F25B43A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62699201"/>
        <c:axId val="29262753"/>
      </c:lineChart>
      <c:dateAx>
        <c:axId val="8626992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mmm\-yy" sourceLinked="1"/>
        <c:majorTickMark val="out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th-TH"/>
          </a:p>
        </c:txPr>
        <c:crossAx val="29262753"/>
        <c:crosses val="autoZero"/>
        <c:auto val="1"/>
        <c:lblOffset val="100"/>
        <c:baseTimeUnit val="months"/>
      </c:dateAx>
      <c:valAx>
        <c:axId val="2926275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#,##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th-TH"/>
          </a:p>
        </c:txPr>
        <c:crossAx val="86269920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400" b="1" i="0">
                <a:solidFill>
                  <a:srgbClr val="00B050"/>
                </a:solidFill>
                <a:latin typeface="+mn-lt"/>
              </a:defRPr>
            </a:pPr>
            <a:r>
              <a:rPr sz="1400" b="1" i="0">
                <a:solidFill>
                  <a:srgbClr val="00B050"/>
                </a:solidFill>
                <a:latin typeface="+mn-lt"/>
              </a:rPr>
              <a:t>AL &amp; SL+PL (% Leave)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AL(%)</c:v>
          </c:tx>
          <c:spPr>
            <a:ln w="28575" cmpd="sng">
              <a:solidFill>
                <a:schemeClr val="accent1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0" i="0">
                    <a:latin typeface="+mn-lt"/>
                  </a:defRPr>
                </a:pPr>
                <a:endParaRPr lang="th-TH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Sheet1!$N$36:$N$45</c:f>
              <c:numCache>
                <c:formatCode>mmm\-yy</c:formatCode>
                <c:ptCount val="10"/>
                <c:pt idx="0">
                  <c:v>43800</c:v>
                </c:pt>
                <c:pt idx="1">
                  <c:v>43831</c:v>
                </c:pt>
                <c:pt idx="2">
                  <c:v>43862</c:v>
                </c:pt>
                <c:pt idx="3">
                  <c:v>43891</c:v>
                </c:pt>
                <c:pt idx="4">
                  <c:v>43922</c:v>
                </c:pt>
                <c:pt idx="5">
                  <c:v>43952</c:v>
                </c:pt>
                <c:pt idx="6">
                  <c:v>43983</c:v>
                </c:pt>
                <c:pt idx="7">
                  <c:v>44013</c:v>
                </c:pt>
                <c:pt idx="8">
                  <c:v>44044</c:v>
                </c:pt>
                <c:pt idx="9">
                  <c:v>44075</c:v>
                </c:pt>
              </c:numCache>
            </c:numRef>
          </c:cat>
          <c:val>
            <c:numRef>
              <c:f>Sheet1!$P$36:$P$45</c:f>
              <c:numCache>
                <c:formatCode>0%</c:formatCode>
                <c:ptCount val="10"/>
                <c:pt idx="0">
                  <c:v>0.50891849175886206</c:v>
                </c:pt>
                <c:pt idx="1">
                  <c:v>0.48372670807453416</c:v>
                </c:pt>
                <c:pt idx="2">
                  <c:v>0.39402235911476158</c:v>
                </c:pt>
                <c:pt idx="3">
                  <c:v>0.4054585152838428</c:v>
                </c:pt>
                <c:pt idx="4">
                  <c:v>0.32933025404157046</c:v>
                </c:pt>
                <c:pt idx="5">
                  <c:v>0.34905357715752328</c:v>
                </c:pt>
                <c:pt idx="6">
                  <c:v>0.47562449637389204</c:v>
                </c:pt>
                <c:pt idx="7">
                  <c:v>0.45287505404236922</c:v>
                </c:pt>
                <c:pt idx="8">
                  <c:v>0.44179600886917958</c:v>
                </c:pt>
                <c:pt idx="9">
                  <c:v>0.4499107319976195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780-4910-A982-7F2E44DF45B7}"/>
            </c:ext>
          </c:extLst>
        </c:ser>
        <c:ser>
          <c:idx val="1"/>
          <c:order val="1"/>
          <c:tx>
            <c:v>SL+PL (%)</c:v>
          </c:tx>
          <c:spPr>
            <a:ln w="28575" cmpd="sng">
              <a:solidFill>
                <a:schemeClr val="accent2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0" i="0">
                    <a:latin typeface="+mn-lt"/>
                  </a:defRPr>
                </a:pPr>
                <a:endParaRPr lang="th-TH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Sheet1!$N$36:$N$45</c:f>
              <c:numCache>
                <c:formatCode>mmm\-yy</c:formatCode>
                <c:ptCount val="10"/>
                <c:pt idx="0">
                  <c:v>43800</c:v>
                </c:pt>
                <c:pt idx="1">
                  <c:v>43831</c:v>
                </c:pt>
                <c:pt idx="2">
                  <c:v>43862</c:v>
                </c:pt>
                <c:pt idx="3">
                  <c:v>43891</c:v>
                </c:pt>
                <c:pt idx="4">
                  <c:v>43922</c:v>
                </c:pt>
                <c:pt idx="5">
                  <c:v>43952</c:v>
                </c:pt>
                <c:pt idx="6">
                  <c:v>43983</c:v>
                </c:pt>
                <c:pt idx="7">
                  <c:v>44013</c:v>
                </c:pt>
                <c:pt idx="8">
                  <c:v>44044</c:v>
                </c:pt>
                <c:pt idx="9">
                  <c:v>44075</c:v>
                </c:pt>
              </c:numCache>
            </c:numRef>
          </c:cat>
          <c:val>
            <c:numRef>
              <c:f>Sheet1!$R$36:$R$45</c:f>
              <c:numCache>
                <c:formatCode>0%</c:formatCode>
                <c:ptCount val="10"/>
                <c:pt idx="0">
                  <c:v>0.33980582524271846</c:v>
                </c:pt>
                <c:pt idx="1">
                  <c:v>0.32347826086956522</c:v>
                </c:pt>
                <c:pt idx="2">
                  <c:v>0.38329911019849416</c:v>
                </c:pt>
                <c:pt idx="3">
                  <c:v>0.33013100436681225</c:v>
                </c:pt>
                <c:pt idx="4">
                  <c:v>0.32840646651270206</c:v>
                </c:pt>
                <c:pt idx="5">
                  <c:v>0.36926531921719602</c:v>
                </c:pt>
                <c:pt idx="6">
                  <c:v>0.29955680902497983</c:v>
                </c:pt>
                <c:pt idx="7">
                  <c:v>0.31214872460008647</c:v>
                </c:pt>
                <c:pt idx="8">
                  <c:v>0.37102734663710274</c:v>
                </c:pt>
                <c:pt idx="9">
                  <c:v>0.39555643721483835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780-4910-A982-7F2E44DF45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01696001"/>
        <c:axId val="806209258"/>
      </c:lineChart>
      <c:dateAx>
        <c:axId val="1401696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mmm\-yy" sourceLinked="1"/>
        <c:majorTickMark val="out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th-TH"/>
          </a:p>
        </c:txPr>
        <c:crossAx val="806209258"/>
        <c:crosses val="autoZero"/>
        <c:auto val="1"/>
        <c:lblOffset val="100"/>
        <c:baseTimeUnit val="months"/>
      </c:dateAx>
      <c:valAx>
        <c:axId val="80620925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0%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th-TH"/>
          </a:p>
        </c:txPr>
        <c:crossAx val="1401696001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th-TH"/>
        </a:p>
      </c:txPr>
    </c:legend>
    <c:plotVisOnly val="1"/>
    <c:dispBlanksAs val="zero"/>
    <c:showDLblsOverMax val="1"/>
  </c:chart>
  <c:spPr>
    <a:solidFill>
      <a:schemeClr val="accent4"/>
    </a:solidFill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500" b="1" i="0">
                <a:solidFill>
                  <a:schemeClr val="lt1"/>
                </a:solidFill>
                <a:latin typeface="+mn-lt"/>
              </a:defRPr>
            </a:pPr>
            <a:r>
              <a:rPr sz="1500" b="1" i="0">
                <a:solidFill>
                  <a:schemeClr val="lt1"/>
                </a:solidFill>
                <a:latin typeface="+mn-lt"/>
              </a:rPr>
              <a:t>% LeAVE</a:t>
            </a:r>
          </a:p>
        </c:rich>
      </c:tx>
      <c:overlay val="0"/>
    </c:title>
    <c:autoTitleDeleted val="0"/>
    <c:plotArea>
      <c:layout/>
      <c:areaChart>
        <c:grouping val="stacked"/>
        <c:varyColors val="1"/>
        <c:ser>
          <c:idx val="0"/>
          <c:order val="0"/>
          <c:tx>
            <c:v>%</c:v>
          </c:tx>
          <c:spPr>
            <a:solidFill>
              <a:srgbClr val="FFFFFF">
                <a:alpha val="30000"/>
              </a:srgbClr>
            </a:solidFill>
            <a:ln cmpd="sng">
              <a:solidFill>
                <a:srgbClr val="FFFFFF"/>
              </a:solidFill>
            </a:ln>
          </c:spP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1100" b="1" i="0">
                    <a:solidFill>
                      <a:srgbClr val="FFFFFF"/>
                    </a:solidFill>
                    <a:latin typeface="+mn-lt"/>
                  </a:defRPr>
                </a:pPr>
                <a:endParaRPr lang="th-TH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Sheet1!$N$53:$N$62</c:f>
              <c:numCache>
                <c:formatCode>mmm\-yy</c:formatCode>
                <c:ptCount val="10"/>
                <c:pt idx="0">
                  <c:v>43800</c:v>
                </c:pt>
                <c:pt idx="1">
                  <c:v>43831</c:v>
                </c:pt>
                <c:pt idx="2">
                  <c:v>43862</c:v>
                </c:pt>
                <c:pt idx="3">
                  <c:v>43891</c:v>
                </c:pt>
                <c:pt idx="4">
                  <c:v>43922</c:v>
                </c:pt>
                <c:pt idx="5">
                  <c:v>43952</c:v>
                </c:pt>
                <c:pt idx="6">
                  <c:v>43983</c:v>
                </c:pt>
                <c:pt idx="7">
                  <c:v>44013</c:v>
                </c:pt>
                <c:pt idx="8">
                  <c:v>44044</c:v>
                </c:pt>
                <c:pt idx="9">
                  <c:v>44075</c:v>
                </c:pt>
              </c:numCache>
            </c:numRef>
          </c:cat>
          <c:val>
            <c:numRef>
              <c:f>Sheet1!$O$53:$O$62</c:f>
              <c:numCache>
                <c:formatCode>0.00%</c:formatCode>
                <c:ptCount val="10"/>
                <c:pt idx="0">
                  <c:v>3.73E-2</c:v>
                </c:pt>
                <c:pt idx="1">
                  <c:v>4.1500000000000002E-2</c:v>
                </c:pt>
                <c:pt idx="2">
                  <c:v>3.6900000000000002E-2</c:v>
                </c:pt>
                <c:pt idx="3">
                  <c:v>3.85E-2</c:v>
                </c:pt>
                <c:pt idx="4">
                  <c:v>3.4500000000000003E-2</c:v>
                </c:pt>
                <c:pt idx="5">
                  <c:v>2.7099999999999999E-2</c:v>
                </c:pt>
                <c:pt idx="6">
                  <c:v>3.44E-2</c:v>
                </c:pt>
                <c:pt idx="7">
                  <c:v>3.5000000000000003E-2</c:v>
                </c:pt>
                <c:pt idx="8">
                  <c:v>3.7199999999999997E-2</c:v>
                </c:pt>
                <c:pt idx="9">
                  <c:v>3.5099999999999999E-2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E8-4924-83C3-DCAE93701E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0757264"/>
        <c:axId val="1122706116"/>
      </c:areaChart>
      <c:dateAx>
        <c:axId val="8307572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mmm\-yy" sourceLinked="1"/>
        <c:majorTickMark val="out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chemeClr val="lt1"/>
                </a:solidFill>
                <a:latin typeface="+mn-lt"/>
              </a:defRPr>
            </a:pPr>
            <a:endParaRPr lang="th-TH"/>
          </a:p>
        </c:txPr>
        <c:crossAx val="1122706116"/>
        <c:crosses val="autoZero"/>
        <c:auto val="1"/>
        <c:lblOffset val="100"/>
        <c:baseTimeUnit val="months"/>
      </c:dateAx>
      <c:valAx>
        <c:axId val="112270611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0.00%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th-TH"/>
          </a:p>
        </c:txPr>
        <c:crossAx val="830757264"/>
        <c:crosses val="autoZero"/>
        <c:crossBetween val="midCat"/>
      </c:valAx>
    </c:plotArea>
    <c:plotVisOnly val="1"/>
    <c:dispBlanksAs val="zero"/>
    <c:showDLblsOverMax val="1"/>
  </c:chart>
  <c:spPr>
    <a:solidFill>
      <a:schemeClr val="accent1"/>
    </a:solidFill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342900</xdr:colOff>
      <xdr:row>17</xdr:row>
      <xdr:rowOff>19050</xdr:rowOff>
    </xdr:from>
    <xdr:ext cx="4572000" cy="2752725"/>
    <xdr:graphicFrame macro="">
      <xdr:nvGraphicFramePr>
        <xdr:cNvPr id="6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17</xdr:col>
      <xdr:colOff>66675</xdr:colOff>
      <xdr:row>16</xdr:row>
      <xdr:rowOff>19050</xdr:rowOff>
    </xdr:from>
    <xdr:ext cx="6724650" cy="3114675"/>
    <xdr:graphicFrame macro="">
      <xdr:nvGraphicFramePr>
        <xdr:cNvPr id="7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2</xdr:col>
      <xdr:colOff>352425</xdr:colOff>
      <xdr:row>33</xdr:row>
      <xdr:rowOff>28575</xdr:rowOff>
    </xdr:from>
    <xdr:ext cx="4572000" cy="2752725"/>
    <xdr:graphicFrame macro="">
      <xdr:nvGraphicFramePr>
        <xdr:cNvPr id="8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18</xdr:col>
      <xdr:colOff>314325</xdr:colOff>
      <xdr:row>34</xdr:row>
      <xdr:rowOff>152400</xdr:rowOff>
    </xdr:from>
    <xdr:ext cx="5781675" cy="2857500"/>
    <xdr:graphicFrame macro="">
      <xdr:nvGraphicFramePr>
        <xdr:cNvPr id="9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  <xdr:oneCellAnchor>
    <xdr:from>
      <xdr:col>16</xdr:col>
      <xdr:colOff>0</xdr:colOff>
      <xdr:row>52</xdr:row>
      <xdr:rowOff>9525</xdr:rowOff>
    </xdr:from>
    <xdr:ext cx="6381750" cy="2752725"/>
    <xdr:graphicFrame macro="">
      <xdr:nvGraphicFramePr>
        <xdr:cNvPr id="10" name="Chart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Tahoma"/>
        <a:ea typeface="Tahoma"/>
        <a:cs typeface="Tahoma"/>
      </a:majorFont>
      <a:minorFont>
        <a:latin typeface="Tahoma"/>
        <a:ea typeface="Tahoma"/>
        <a:cs typeface="Taho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5"/>
  <sheetViews>
    <sheetView tabSelected="1" workbookViewId="0">
      <pane ySplit="1" topLeftCell="A5" activePane="bottomLeft" state="frozen"/>
      <selection pane="bottomLeft" activeCell="C24" sqref="C24:Y45"/>
    </sheetView>
  </sheetViews>
  <sheetFormatPr defaultRowHeight="14.25" x14ac:dyDescent="0.2"/>
  <cols>
    <col min="2" max="2" width="15.75" bestFit="1" customWidth="1"/>
    <col min="3" max="3" width="8.125" style="45" bestFit="1" customWidth="1"/>
    <col min="4" max="4" width="16.5" style="45" bestFit="1" customWidth="1"/>
    <col min="5" max="5" width="15.75" style="45" bestFit="1" customWidth="1"/>
    <col min="6" max="6" width="13" style="45" bestFit="1" customWidth="1"/>
    <col min="7" max="7" width="6.625" style="45" bestFit="1" customWidth="1"/>
    <col min="8" max="8" width="6.5" style="45" bestFit="1" customWidth="1"/>
    <col min="9" max="9" width="6.875" style="45" bestFit="1" customWidth="1"/>
    <col min="10" max="11" width="9.5" style="45" bestFit="1" customWidth="1"/>
    <col min="12" max="12" width="6.375" style="45" bestFit="1" customWidth="1"/>
    <col min="13" max="13" width="7.625" style="45" bestFit="1" customWidth="1"/>
    <col min="14" max="14" width="8.25" style="45" bestFit="1" customWidth="1"/>
    <col min="15" max="15" width="8.75" style="45" bestFit="1" customWidth="1"/>
    <col min="16" max="16" width="8.125" style="45" bestFit="1" customWidth="1"/>
    <col min="17" max="17" width="7.625" style="45" bestFit="1" customWidth="1"/>
    <col min="18" max="18" width="16.875" style="45" bestFit="1" customWidth="1"/>
    <col min="19" max="19" width="11.25" style="45" bestFit="1" customWidth="1"/>
    <col min="20" max="20" width="10.375" style="45" bestFit="1" customWidth="1"/>
    <col min="21" max="21" width="10.5" style="45" bestFit="1" customWidth="1"/>
    <col min="22" max="22" width="15.625" style="45" bestFit="1" customWidth="1"/>
    <col min="23" max="23" width="11.5" style="45" bestFit="1" customWidth="1"/>
    <col min="24" max="24" width="4.75" style="45" bestFit="1" customWidth="1"/>
    <col min="25" max="25" width="5.75" style="45" bestFit="1" customWidth="1"/>
  </cols>
  <sheetData>
    <row r="1" spans="1:25" s="46" customFormat="1" ht="14.25" customHeight="1" x14ac:dyDescent="0.2">
      <c r="A1" s="46" t="s">
        <v>74</v>
      </c>
      <c r="B1" s="47" t="s">
        <v>21</v>
      </c>
      <c r="C1" s="48" t="s">
        <v>65</v>
      </c>
      <c r="D1" s="48" t="s">
        <v>66</v>
      </c>
      <c r="E1" s="48" t="s">
        <v>67</v>
      </c>
      <c r="F1" s="48" t="s">
        <v>68</v>
      </c>
      <c r="G1" s="48" t="s">
        <v>26</v>
      </c>
      <c r="H1" s="48" t="s">
        <v>27</v>
      </c>
      <c r="I1" s="48" t="s">
        <v>28</v>
      </c>
      <c r="J1" s="48" t="s">
        <v>29</v>
      </c>
      <c r="K1" s="48" t="s">
        <v>30</v>
      </c>
      <c r="L1" s="48" t="s">
        <v>31</v>
      </c>
      <c r="M1" s="48" t="s">
        <v>32</v>
      </c>
      <c r="N1" s="48" t="s">
        <v>33</v>
      </c>
      <c r="O1" s="48" t="s">
        <v>34</v>
      </c>
      <c r="P1" s="48" t="s">
        <v>35</v>
      </c>
      <c r="Q1" s="48" t="s">
        <v>36</v>
      </c>
      <c r="R1" s="48" t="s">
        <v>69</v>
      </c>
      <c r="S1" s="48" t="s">
        <v>70</v>
      </c>
      <c r="T1" s="49" t="s">
        <v>71</v>
      </c>
      <c r="U1" s="50" t="s">
        <v>72</v>
      </c>
      <c r="V1" s="51" t="s">
        <v>73</v>
      </c>
      <c r="W1" s="48" t="s">
        <v>20</v>
      </c>
      <c r="X1" s="52">
        <v>0.01</v>
      </c>
      <c r="Y1" s="52">
        <v>0.02</v>
      </c>
    </row>
    <row r="2" spans="1:25" ht="15.75" customHeight="1" x14ac:dyDescent="0.2">
      <c r="A2" s="28">
        <v>46023</v>
      </c>
      <c r="B2" s="12" t="s">
        <v>37</v>
      </c>
      <c r="C2" s="32"/>
      <c r="D2" s="32"/>
      <c r="E2" s="32"/>
      <c r="F2" s="33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3"/>
      <c r="T2" s="33"/>
      <c r="U2" s="33"/>
      <c r="V2" s="33"/>
      <c r="W2" s="33"/>
      <c r="X2" s="34"/>
      <c r="Y2" s="34"/>
    </row>
    <row r="3" spans="1:25" ht="15.75" customHeight="1" x14ac:dyDescent="0.2">
      <c r="A3" s="28">
        <v>46024</v>
      </c>
      <c r="B3" s="12" t="s">
        <v>38</v>
      </c>
      <c r="C3" s="53">
        <v>2</v>
      </c>
      <c r="D3" s="53">
        <v>38</v>
      </c>
      <c r="E3" s="30">
        <v>0</v>
      </c>
      <c r="F3" s="31">
        <v>0</v>
      </c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0">
        <v>0</v>
      </c>
      <c r="S3" s="35">
        <v>0</v>
      </c>
      <c r="T3" s="36">
        <v>0</v>
      </c>
      <c r="U3" s="37">
        <v>0</v>
      </c>
      <c r="V3" s="38">
        <v>0</v>
      </c>
      <c r="W3" s="37">
        <v>21</v>
      </c>
      <c r="X3" s="34"/>
      <c r="Y3" s="34"/>
    </row>
    <row r="4" spans="1:25" ht="15.75" customHeight="1" x14ac:dyDescent="0.2">
      <c r="A4" s="28">
        <v>46025</v>
      </c>
      <c r="B4" s="12" t="s">
        <v>39</v>
      </c>
      <c r="C4" s="30">
        <v>61</v>
      </c>
      <c r="D4" s="30">
        <v>937</v>
      </c>
      <c r="E4" s="30">
        <v>42</v>
      </c>
      <c r="F4" s="31">
        <v>0.6885</v>
      </c>
      <c r="G4" s="30">
        <v>33</v>
      </c>
      <c r="H4" s="30">
        <v>18.5</v>
      </c>
      <c r="I4" s="32"/>
      <c r="J4" s="32"/>
      <c r="K4" s="32"/>
      <c r="L4" s="30">
        <v>25</v>
      </c>
      <c r="M4" s="32"/>
      <c r="N4" s="32"/>
      <c r="O4" s="32"/>
      <c r="P4" s="32"/>
      <c r="Q4" s="30">
        <v>33</v>
      </c>
      <c r="R4" s="30">
        <v>112.5</v>
      </c>
      <c r="S4" s="39">
        <v>0.1201</v>
      </c>
      <c r="T4" s="36">
        <v>5.36</v>
      </c>
      <c r="U4" s="37">
        <v>76.5</v>
      </c>
      <c r="V4" s="38">
        <v>3.64</v>
      </c>
      <c r="W4" s="37">
        <v>21</v>
      </c>
      <c r="X4" s="41">
        <v>0.28999999999999998</v>
      </c>
      <c r="Y4" s="41">
        <v>0.16</v>
      </c>
    </row>
    <row r="5" spans="1:25" ht="15.75" customHeight="1" x14ac:dyDescent="0.2">
      <c r="A5" s="28">
        <v>46026</v>
      </c>
      <c r="B5" s="12" t="s">
        <v>40</v>
      </c>
      <c r="C5" s="30">
        <v>40</v>
      </c>
      <c r="D5" s="30">
        <v>792</v>
      </c>
      <c r="E5" s="30">
        <v>28</v>
      </c>
      <c r="F5" s="31">
        <v>0.7</v>
      </c>
      <c r="G5" s="30">
        <v>20</v>
      </c>
      <c r="H5" s="30">
        <v>26.5</v>
      </c>
      <c r="I5" s="32"/>
      <c r="J5" s="32"/>
      <c r="K5" s="32"/>
      <c r="L5" s="30">
        <v>19</v>
      </c>
      <c r="M5" s="32"/>
      <c r="N5" s="32"/>
      <c r="O5" s="32"/>
      <c r="P5" s="32"/>
      <c r="Q5" s="30">
        <v>6</v>
      </c>
      <c r="R5" s="30">
        <v>71.5</v>
      </c>
      <c r="S5" s="35">
        <v>9.0300000000000005E-2</v>
      </c>
      <c r="T5" s="36">
        <v>3.4</v>
      </c>
      <c r="U5" s="37">
        <v>51.5</v>
      </c>
      <c r="V5" s="38">
        <v>2.4500000000000002</v>
      </c>
      <c r="W5" s="37">
        <v>21</v>
      </c>
      <c r="X5" s="41">
        <v>0.28000000000000003</v>
      </c>
      <c r="Y5" s="41">
        <v>0.37</v>
      </c>
    </row>
    <row r="6" spans="1:25" ht="15.75" customHeight="1" x14ac:dyDescent="0.2">
      <c r="A6" s="28">
        <v>46027</v>
      </c>
      <c r="B6" s="12" t="s">
        <v>41</v>
      </c>
      <c r="C6" s="30">
        <v>119</v>
      </c>
      <c r="D6" s="54">
        <v>1807</v>
      </c>
      <c r="E6" s="30">
        <v>52</v>
      </c>
      <c r="F6" s="31">
        <v>0.437</v>
      </c>
      <c r="G6" s="30">
        <v>3</v>
      </c>
      <c r="H6" s="30">
        <v>77</v>
      </c>
      <c r="I6" s="32"/>
      <c r="J6" s="32"/>
      <c r="K6" s="32"/>
      <c r="L6" s="30">
        <v>33</v>
      </c>
      <c r="M6" s="32"/>
      <c r="N6" s="32"/>
      <c r="O6" s="32"/>
      <c r="P6" s="32"/>
      <c r="Q6" s="30">
        <v>62</v>
      </c>
      <c r="R6" s="30">
        <v>175</v>
      </c>
      <c r="S6" s="35">
        <v>9.6799999999999997E-2</v>
      </c>
      <c r="T6" s="36">
        <v>8.33</v>
      </c>
      <c r="U6" s="37">
        <v>172</v>
      </c>
      <c r="V6" s="38">
        <v>8.19</v>
      </c>
      <c r="W6" s="37">
        <v>21</v>
      </c>
      <c r="X6" s="41">
        <v>0.02</v>
      </c>
      <c r="Y6" s="41">
        <v>0.44</v>
      </c>
    </row>
    <row r="7" spans="1:25" ht="15.75" customHeight="1" x14ac:dyDescent="0.2">
      <c r="A7" s="28">
        <v>46028</v>
      </c>
      <c r="B7" s="12" t="s">
        <v>42</v>
      </c>
      <c r="C7" s="30">
        <v>28</v>
      </c>
      <c r="D7" s="30">
        <v>408</v>
      </c>
      <c r="E7" s="30">
        <v>15</v>
      </c>
      <c r="F7" s="31">
        <v>0.53569999999999995</v>
      </c>
      <c r="G7" s="30">
        <v>7</v>
      </c>
      <c r="H7" s="30">
        <v>12.5</v>
      </c>
      <c r="I7" s="32"/>
      <c r="J7" s="32"/>
      <c r="K7" s="32"/>
      <c r="L7" s="30">
        <v>17</v>
      </c>
      <c r="M7" s="32"/>
      <c r="N7" s="32"/>
      <c r="O7" s="32"/>
      <c r="P7" s="32"/>
      <c r="Q7" s="30">
        <v>28</v>
      </c>
      <c r="R7" s="30">
        <v>64.5</v>
      </c>
      <c r="S7" s="35">
        <v>0.15809999999999999</v>
      </c>
      <c r="T7" s="36">
        <v>3.07</v>
      </c>
      <c r="U7" s="37">
        <v>57.5</v>
      </c>
      <c r="V7" s="38">
        <v>2.74</v>
      </c>
      <c r="W7" s="37">
        <v>21</v>
      </c>
      <c r="X7" s="41">
        <v>0.11</v>
      </c>
      <c r="Y7" s="41">
        <v>0.19</v>
      </c>
    </row>
    <row r="8" spans="1:25" ht="15.75" customHeight="1" x14ac:dyDescent="0.2">
      <c r="A8" s="28">
        <v>46029</v>
      </c>
      <c r="B8" s="12" t="s">
        <v>43</v>
      </c>
      <c r="C8" s="30">
        <v>27</v>
      </c>
      <c r="D8" s="30">
        <v>486</v>
      </c>
      <c r="E8" s="30">
        <v>70.37</v>
      </c>
      <c r="F8" s="31">
        <v>2.6063000000000001</v>
      </c>
      <c r="G8" s="30">
        <v>17</v>
      </c>
      <c r="H8" s="30">
        <v>16</v>
      </c>
      <c r="I8" s="32"/>
      <c r="J8" s="32"/>
      <c r="K8" s="32"/>
      <c r="L8" s="30">
        <v>7</v>
      </c>
      <c r="M8" s="32"/>
      <c r="N8" s="32"/>
      <c r="O8" s="32"/>
      <c r="P8" s="32"/>
      <c r="Q8" s="30">
        <v>10</v>
      </c>
      <c r="R8" s="30">
        <v>50</v>
      </c>
      <c r="S8" s="35">
        <v>0.10290000000000001</v>
      </c>
      <c r="T8" s="36">
        <v>2.38</v>
      </c>
      <c r="U8" s="37">
        <v>33</v>
      </c>
      <c r="V8" s="38">
        <v>1.57</v>
      </c>
      <c r="W8" s="37">
        <v>21</v>
      </c>
      <c r="X8" s="41">
        <v>0.34</v>
      </c>
      <c r="Y8" s="41">
        <v>0.32</v>
      </c>
    </row>
    <row r="9" spans="1:25" ht="15.75" customHeight="1" x14ac:dyDescent="0.2">
      <c r="A9" s="28">
        <v>46030</v>
      </c>
      <c r="B9" s="12" t="s">
        <v>44</v>
      </c>
      <c r="C9" s="30">
        <v>33</v>
      </c>
      <c r="D9" s="30">
        <v>691</v>
      </c>
      <c r="E9" s="30">
        <v>18</v>
      </c>
      <c r="F9" s="31">
        <v>0.54549999999999998</v>
      </c>
      <c r="G9" s="30">
        <v>19</v>
      </c>
      <c r="H9" s="30">
        <v>4</v>
      </c>
      <c r="I9" s="32"/>
      <c r="J9" s="32"/>
      <c r="K9" s="32"/>
      <c r="L9" s="30">
        <v>19</v>
      </c>
      <c r="M9" s="32"/>
      <c r="N9" s="32"/>
      <c r="O9" s="32"/>
      <c r="P9" s="32"/>
      <c r="Q9" s="30">
        <v>2</v>
      </c>
      <c r="R9" s="30">
        <v>44</v>
      </c>
      <c r="S9" s="35">
        <v>6.3700000000000007E-2</v>
      </c>
      <c r="T9" s="36">
        <v>2.1</v>
      </c>
      <c r="U9" s="37">
        <v>25</v>
      </c>
      <c r="V9" s="38">
        <v>1.19</v>
      </c>
      <c r="W9" s="37">
        <v>21</v>
      </c>
      <c r="X9" s="41">
        <v>0.43</v>
      </c>
      <c r="Y9" s="41">
        <v>0.09</v>
      </c>
    </row>
    <row r="10" spans="1:25" ht="15.75" customHeight="1" x14ac:dyDescent="0.2">
      <c r="A10" s="28">
        <v>46031</v>
      </c>
      <c r="B10" s="12" t="s">
        <v>45</v>
      </c>
      <c r="C10" s="30">
        <v>14</v>
      </c>
      <c r="D10" s="30">
        <v>294</v>
      </c>
      <c r="E10" s="30">
        <v>71.430000000000007</v>
      </c>
      <c r="F10" s="31">
        <v>5.1021000000000001</v>
      </c>
      <c r="G10" s="30">
        <v>3.5</v>
      </c>
      <c r="H10" s="30">
        <v>4</v>
      </c>
      <c r="I10" s="30">
        <v>31</v>
      </c>
      <c r="J10" s="32"/>
      <c r="K10" s="32"/>
      <c r="L10" s="30">
        <v>2</v>
      </c>
      <c r="M10" s="32"/>
      <c r="N10" s="32"/>
      <c r="O10" s="32"/>
      <c r="P10" s="32"/>
      <c r="Q10" s="32"/>
      <c r="R10" s="30">
        <v>40.5</v>
      </c>
      <c r="S10" s="35">
        <v>0.13780000000000001</v>
      </c>
      <c r="T10" s="36">
        <v>1.93</v>
      </c>
      <c r="U10" s="37">
        <v>6</v>
      </c>
      <c r="V10" s="38">
        <v>0.28999999999999998</v>
      </c>
      <c r="W10" s="37">
        <v>21</v>
      </c>
      <c r="X10" s="41">
        <v>0.09</v>
      </c>
      <c r="Y10" s="41">
        <v>0.1</v>
      </c>
    </row>
    <row r="11" spans="1:25" ht="15.75" customHeight="1" x14ac:dyDescent="0.2">
      <c r="A11" s="28">
        <v>46032</v>
      </c>
      <c r="B11" s="12" t="s">
        <v>46</v>
      </c>
      <c r="C11" s="30">
        <v>45</v>
      </c>
      <c r="D11" s="30">
        <v>768</v>
      </c>
      <c r="E11" s="30">
        <v>25</v>
      </c>
      <c r="F11" s="31">
        <v>0.55559999999999998</v>
      </c>
      <c r="G11" s="30">
        <v>1</v>
      </c>
      <c r="H11" s="30">
        <v>32</v>
      </c>
      <c r="I11" s="32"/>
      <c r="J11" s="32"/>
      <c r="K11" s="32"/>
      <c r="L11" s="30">
        <v>14.5</v>
      </c>
      <c r="M11" s="32"/>
      <c r="N11" s="32"/>
      <c r="O11" s="32"/>
      <c r="P11" s="32"/>
      <c r="Q11" s="30">
        <v>33</v>
      </c>
      <c r="R11" s="30">
        <v>80.5</v>
      </c>
      <c r="S11" s="39">
        <v>0.1048</v>
      </c>
      <c r="T11" s="36">
        <v>3.83</v>
      </c>
      <c r="U11" s="37">
        <v>79.5</v>
      </c>
      <c r="V11" s="38">
        <v>3.79</v>
      </c>
      <c r="W11" s="37">
        <v>21</v>
      </c>
      <c r="X11" s="41">
        <v>0.01</v>
      </c>
      <c r="Y11" s="41">
        <v>0.4</v>
      </c>
    </row>
    <row r="12" spans="1:25" ht="15.75" customHeight="1" x14ac:dyDescent="0.2">
      <c r="A12" s="28">
        <v>46033</v>
      </c>
      <c r="B12" s="12" t="s">
        <v>47</v>
      </c>
      <c r="C12" s="30">
        <v>62</v>
      </c>
      <c r="D12" s="54">
        <v>1054</v>
      </c>
      <c r="E12" s="30">
        <v>34</v>
      </c>
      <c r="F12" s="31">
        <v>0.5484</v>
      </c>
      <c r="G12" s="30">
        <v>11.5</v>
      </c>
      <c r="H12" s="30">
        <v>44.5</v>
      </c>
      <c r="I12" s="32"/>
      <c r="J12" s="32"/>
      <c r="K12" s="30">
        <v>1.5</v>
      </c>
      <c r="L12" s="30">
        <v>37.5</v>
      </c>
      <c r="M12" s="32"/>
      <c r="N12" s="32"/>
      <c r="O12" s="32"/>
      <c r="P12" s="32"/>
      <c r="Q12" s="30">
        <v>32</v>
      </c>
      <c r="R12" s="30">
        <v>127</v>
      </c>
      <c r="S12" s="35">
        <v>0.1205</v>
      </c>
      <c r="T12" s="36">
        <v>6.05</v>
      </c>
      <c r="U12" s="37">
        <v>115.5</v>
      </c>
      <c r="V12" s="38">
        <v>5.5</v>
      </c>
      <c r="W12" s="37">
        <v>21</v>
      </c>
      <c r="X12" s="41">
        <v>0.09</v>
      </c>
      <c r="Y12" s="41">
        <v>0.35</v>
      </c>
    </row>
    <row r="13" spans="1:25" ht="15.75" customHeight="1" x14ac:dyDescent="0.2">
      <c r="A13" s="28">
        <v>46034</v>
      </c>
      <c r="B13" s="12" t="s">
        <v>48</v>
      </c>
      <c r="C13" s="30">
        <v>8</v>
      </c>
      <c r="D13" s="30">
        <v>133</v>
      </c>
      <c r="E13" s="30">
        <v>5</v>
      </c>
      <c r="F13" s="31">
        <v>0.625</v>
      </c>
      <c r="G13" s="30">
        <v>4</v>
      </c>
      <c r="H13" s="30">
        <v>10.5</v>
      </c>
      <c r="I13" s="32"/>
      <c r="J13" s="32"/>
      <c r="K13" s="32"/>
      <c r="L13" s="30">
        <v>9</v>
      </c>
      <c r="M13" s="32"/>
      <c r="N13" s="32"/>
      <c r="O13" s="32"/>
      <c r="P13" s="32"/>
      <c r="Q13" s="30">
        <v>3</v>
      </c>
      <c r="R13" s="30">
        <v>26.5</v>
      </c>
      <c r="S13" s="35">
        <v>0.19919999999999999</v>
      </c>
      <c r="T13" s="36">
        <v>1.26</v>
      </c>
      <c r="U13" s="37">
        <v>22.5</v>
      </c>
      <c r="V13" s="38">
        <v>1.07</v>
      </c>
      <c r="W13" s="37">
        <v>21</v>
      </c>
      <c r="X13" s="41">
        <v>0.15</v>
      </c>
      <c r="Y13" s="41">
        <v>0.4</v>
      </c>
    </row>
    <row r="14" spans="1:25" ht="15.75" customHeight="1" x14ac:dyDescent="0.2">
      <c r="A14" s="28">
        <v>46035</v>
      </c>
      <c r="B14" s="14" t="s">
        <v>49</v>
      </c>
      <c r="C14" s="30">
        <v>39</v>
      </c>
      <c r="D14" s="30">
        <v>741</v>
      </c>
      <c r="E14" s="30">
        <v>24</v>
      </c>
      <c r="F14" s="31">
        <v>0.61539999999999995</v>
      </c>
      <c r="G14" s="30">
        <v>17</v>
      </c>
      <c r="H14" s="30">
        <v>24</v>
      </c>
      <c r="I14" s="32"/>
      <c r="J14" s="32"/>
      <c r="K14" s="32"/>
      <c r="L14" s="30">
        <v>16</v>
      </c>
      <c r="M14" s="32"/>
      <c r="N14" s="32"/>
      <c r="O14" s="32"/>
      <c r="P14" s="32"/>
      <c r="Q14" s="30">
        <v>10</v>
      </c>
      <c r="R14" s="30">
        <v>67</v>
      </c>
      <c r="S14" s="35">
        <v>9.0399999999999994E-2</v>
      </c>
      <c r="T14" s="36">
        <v>3.19</v>
      </c>
      <c r="U14" s="37">
        <v>50</v>
      </c>
      <c r="V14" s="38">
        <v>2.38</v>
      </c>
      <c r="W14" s="37">
        <v>21</v>
      </c>
      <c r="X14" s="41">
        <v>0.25</v>
      </c>
      <c r="Y14" s="41">
        <v>0.36</v>
      </c>
    </row>
    <row r="15" spans="1:25" ht="15.75" customHeight="1" x14ac:dyDescent="0.2">
      <c r="A15" s="28">
        <v>46036</v>
      </c>
      <c r="B15" s="12" t="s">
        <v>50</v>
      </c>
      <c r="C15" s="30">
        <v>21</v>
      </c>
      <c r="D15" s="30">
        <v>279</v>
      </c>
      <c r="E15" s="30">
        <v>8</v>
      </c>
      <c r="F15" s="31">
        <v>0.38100000000000001</v>
      </c>
      <c r="G15" s="30">
        <v>0.5</v>
      </c>
      <c r="H15" s="30">
        <v>9</v>
      </c>
      <c r="I15" s="32"/>
      <c r="J15" s="32"/>
      <c r="K15" s="32"/>
      <c r="L15" s="30">
        <v>1</v>
      </c>
      <c r="M15" s="32"/>
      <c r="N15" s="32"/>
      <c r="O15" s="32"/>
      <c r="P15" s="32"/>
      <c r="Q15" s="30">
        <v>10</v>
      </c>
      <c r="R15" s="30">
        <v>20.5</v>
      </c>
      <c r="S15" s="35">
        <v>7.3499999999999996E-2</v>
      </c>
      <c r="T15" s="36">
        <v>0.98</v>
      </c>
      <c r="U15" s="37">
        <v>20</v>
      </c>
      <c r="V15" s="38">
        <v>0.95</v>
      </c>
      <c r="W15" s="37">
        <v>21</v>
      </c>
      <c r="X15" s="41">
        <v>0.02</v>
      </c>
      <c r="Y15" s="41">
        <v>0.44</v>
      </c>
    </row>
    <row r="16" spans="1:25" ht="15.75" customHeight="1" x14ac:dyDescent="0.2">
      <c r="A16" s="28">
        <v>46037</v>
      </c>
      <c r="B16" s="12" t="s">
        <v>51</v>
      </c>
      <c r="C16" s="30">
        <v>78</v>
      </c>
      <c r="D16" s="54">
        <v>1557</v>
      </c>
      <c r="E16" s="30">
        <v>46</v>
      </c>
      <c r="F16" s="31">
        <v>0.5897</v>
      </c>
      <c r="G16" s="30">
        <v>31</v>
      </c>
      <c r="H16" s="30">
        <v>38</v>
      </c>
      <c r="I16" s="32"/>
      <c r="J16" s="32"/>
      <c r="K16" s="30">
        <v>3</v>
      </c>
      <c r="L16" s="30">
        <v>30</v>
      </c>
      <c r="M16" s="32"/>
      <c r="N16" s="32"/>
      <c r="O16" s="32"/>
      <c r="P16" s="32"/>
      <c r="Q16" s="30">
        <v>2</v>
      </c>
      <c r="R16" s="30">
        <v>104</v>
      </c>
      <c r="S16" s="35">
        <v>6.6799999999999998E-2</v>
      </c>
      <c r="T16" s="36">
        <v>4.95</v>
      </c>
      <c r="U16" s="37">
        <v>73</v>
      </c>
      <c r="V16" s="38">
        <v>3.48</v>
      </c>
      <c r="W16" s="37">
        <v>21</v>
      </c>
      <c r="X16" s="41">
        <v>0.3</v>
      </c>
      <c r="Y16" s="41">
        <v>0.37</v>
      </c>
    </row>
    <row r="17" spans="1:25" ht="15.75" customHeight="1" x14ac:dyDescent="0.2">
      <c r="A17" s="28">
        <v>46038</v>
      </c>
      <c r="B17" s="12" t="s">
        <v>52</v>
      </c>
      <c r="C17" s="30">
        <v>86</v>
      </c>
      <c r="D17" s="54">
        <v>1552</v>
      </c>
      <c r="E17" s="30">
        <v>47</v>
      </c>
      <c r="F17" s="31">
        <v>0.54649999999999999</v>
      </c>
      <c r="G17" s="30">
        <v>27</v>
      </c>
      <c r="H17" s="30">
        <v>77.5</v>
      </c>
      <c r="I17" s="30">
        <v>1</v>
      </c>
      <c r="J17" s="32"/>
      <c r="K17" s="32"/>
      <c r="L17" s="30">
        <v>33.5</v>
      </c>
      <c r="M17" s="32"/>
      <c r="N17" s="32"/>
      <c r="O17" s="32"/>
      <c r="P17" s="32"/>
      <c r="Q17" s="30">
        <v>42</v>
      </c>
      <c r="R17" s="30">
        <v>182</v>
      </c>
      <c r="S17" s="35">
        <v>0.1173</v>
      </c>
      <c r="T17" s="36">
        <v>8.67</v>
      </c>
      <c r="U17" s="37">
        <v>75.5</v>
      </c>
      <c r="V17" s="38">
        <v>3.6</v>
      </c>
      <c r="W17" s="37">
        <v>21</v>
      </c>
      <c r="X17" s="41">
        <v>0.15</v>
      </c>
      <c r="Y17" s="41">
        <v>0.43</v>
      </c>
    </row>
    <row r="18" spans="1:25" ht="15.75" customHeight="1" x14ac:dyDescent="0.2">
      <c r="A18" s="28">
        <v>46039</v>
      </c>
      <c r="B18" s="12" t="s">
        <v>53</v>
      </c>
      <c r="C18" s="30">
        <v>18</v>
      </c>
      <c r="D18" s="30">
        <v>291</v>
      </c>
      <c r="E18" s="30">
        <v>8</v>
      </c>
      <c r="F18" s="31">
        <v>0.44440000000000002</v>
      </c>
      <c r="G18" s="32"/>
      <c r="H18" s="30">
        <v>9</v>
      </c>
      <c r="I18" s="32"/>
      <c r="J18" s="32"/>
      <c r="K18" s="32"/>
      <c r="L18" s="30">
        <v>15</v>
      </c>
      <c r="M18" s="32"/>
      <c r="N18" s="32"/>
      <c r="O18" s="32"/>
      <c r="P18" s="32"/>
      <c r="Q18" s="30">
        <v>11</v>
      </c>
      <c r="R18" s="30">
        <v>35</v>
      </c>
      <c r="S18" s="35">
        <v>0.1203</v>
      </c>
      <c r="T18" s="36">
        <v>1.67</v>
      </c>
      <c r="U18" s="37">
        <v>35</v>
      </c>
      <c r="V18" s="38">
        <v>1.67</v>
      </c>
      <c r="W18" s="37">
        <v>21</v>
      </c>
      <c r="X18" s="41">
        <v>0</v>
      </c>
      <c r="Y18" s="41">
        <v>0.26</v>
      </c>
    </row>
    <row r="19" spans="1:25" ht="15.75" customHeight="1" x14ac:dyDescent="0.2">
      <c r="A19" s="28">
        <v>46040</v>
      </c>
      <c r="B19" s="14" t="s">
        <v>54</v>
      </c>
      <c r="C19" s="30">
        <v>5</v>
      </c>
      <c r="D19" s="30">
        <v>54</v>
      </c>
      <c r="E19" s="30">
        <v>40</v>
      </c>
      <c r="F19" s="31">
        <v>8</v>
      </c>
      <c r="G19" s="32"/>
      <c r="H19" s="30">
        <v>2</v>
      </c>
      <c r="I19" s="32"/>
      <c r="J19" s="32"/>
      <c r="K19" s="32"/>
      <c r="L19" s="32"/>
      <c r="M19" s="32"/>
      <c r="N19" s="32"/>
      <c r="O19" s="32"/>
      <c r="P19" s="32"/>
      <c r="Q19" s="32"/>
      <c r="R19" s="30">
        <v>2</v>
      </c>
      <c r="S19" s="35">
        <v>3.6999999999999998E-2</v>
      </c>
      <c r="T19" s="36">
        <v>0.1</v>
      </c>
      <c r="U19" s="37">
        <v>2</v>
      </c>
      <c r="V19" s="38">
        <v>0.1</v>
      </c>
      <c r="W19" s="37">
        <v>21</v>
      </c>
      <c r="X19" s="41">
        <v>0</v>
      </c>
      <c r="Y19" s="41">
        <v>1</v>
      </c>
    </row>
    <row r="20" spans="1:25" ht="15.75" customHeight="1" x14ac:dyDescent="0.2">
      <c r="A20" s="28">
        <v>46041</v>
      </c>
      <c r="B20" s="12" t="s">
        <v>55</v>
      </c>
      <c r="C20" s="30">
        <v>149</v>
      </c>
      <c r="D20" s="54">
        <v>2807</v>
      </c>
      <c r="E20" s="30">
        <v>69</v>
      </c>
      <c r="F20" s="31">
        <v>0.46310000000000001</v>
      </c>
      <c r="G20" s="30">
        <v>17</v>
      </c>
      <c r="H20" s="30">
        <v>108</v>
      </c>
      <c r="I20" s="30">
        <v>31</v>
      </c>
      <c r="J20" s="30" t="s">
        <v>4</v>
      </c>
      <c r="K20" s="30">
        <v>2</v>
      </c>
      <c r="L20" s="30">
        <v>44</v>
      </c>
      <c r="M20" s="32"/>
      <c r="N20" s="32"/>
      <c r="O20" s="32"/>
      <c r="P20" s="32"/>
      <c r="Q20" s="30">
        <v>116</v>
      </c>
      <c r="R20" s="30">
        <v>319</v>
      </c>
      <c r="S20" s="35">
        <v>0.11360000000000001</v>
      </c>
      <c r="T20" s="36">
        <v>15.19</v>
      </c>
      <c r="U20" s="37">
        <v>270</v>
      </c>
      <c r="V20" s="38">
        <v>12.86</v>
      </c>
      <c r="W20" s="37">
        <v>21</v>
      </c>
      <c r="X20" s="41">
        <v>0.05</v>
      </c>
      <c r="Y20" s="41">
        <v>0.34</v>
      </c>
    </row>
    <row r="21" spans="1:25" ht="15.75" customHeight="1" x14ac:dyDescent="0.2">
      <c r="A21" s="28">
        <v>46042</v>
      </c>
      <c r="B21" s="12" t="s">
        <v>56</v>
      </c>
      <c r="C21" s="32"/>
      <c r="D21" s="32"/>
      <c r="E21" s="32"/>
      <c r="F21" s="33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3"/>
      <c r="T21" s="43"/>
      <c r="U21" s="33"/>
      <c r="V21" s="44"/>
      <c r="W21" s="37">
        <v>21</v>
      </c>
      <c r="X21" s="34"/>
      <c r="Y21" s="34"/>
    </row>
    <row r="22" spans="1:25" ht="15.75" customHeight="1" x14ac:dyDescent="0.2">
      <c r="A22" s="28">
        <v>46043</v>
      </c>
      <c r="B22" s="12" t="s">
        <v>57</v>
      </c>
      <c r="C22" s="30">
        <v>18</v>
      </c>
      <c r="D22" s="30">
        <v>376</v>
      </c>
      <c r="E22" s="30">
        <v>17</v>
      </c>
      <c r="F22" s="31">
        <v>0.94440000000000002</v>
      </c>
      <c r="G22" s="32"/>
      <c r="H22" s="30">
        <v>28</v>
      </c>
      <c r="I22" s="32"/>
      <c r="J22" s="32"/>
      <c r="K22" s="32"/>
      <c r="L22" s="30">
        <v>14</v>
      </c>
      <c r="M22" s="32"/>
      <c r="N22" s="32"/>
      <c r="O22" s="32"/>
      <c r="P22" s="32"/>
      <c r="Q22" s="30">
        <v>17</v>
      </c>
      <c r="R22" s="30">
        <v>59</v>
      </c>
      <c r="S22" s="35">
        <v>0.15690000000000001</v>
      </c>
      <c r="T22" s="36">
        <v>2.81</v>
      </c>
      <c r="U22" s="37">
        <v>59</v>
      </c>
      <c r="V22" s="38">
        <v>2.81</v>
      </c>
      <c r="W22" s="37">
        <v>21</v>
      </c>
      <c r="X22" s="41">
        <v>0</v>
      </c>
      <c r="Y22" s="41">
        <v>0.47</v>
      </c>
    </row>
    <row r="23" spans="1:25" ht="15.75" customHeight="1" x14ac:dyDescent="0.2">
      <c r="A23" s="28">
        <v>46044</v>
      </c>
      <c r="B23" s="15" t="s">
        <v>58</v>
      </c>
      <c r="C23" s="30">
        <v>1</v>
      </c>
      <c r="D23" s="30">
        <v>21</v>
      </c>
      <c r="E23" s="30">
        <v>0</v>
      </c>
      <c r="F23" s="31">
        <v>0</v>
      </c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0">
        <v>0</v>
      </c>
      <c r="S23" s="33"/>
      <c r="T23" s="36">
        <v>0</v>
      </c>
      <c r="U23" s="37">
        <v>0</v>
      </c>
      <c r="V23" s="38">
        <v>0</v>
      </c>
      <c r="W23" s="37">
        <v>21</v>
      </c>
      <c r="X23" s="34"/>
      <c r="Y23" s="34"/>
    </row>
    <row r="24" spans="1:25" x14ac:dyDescent="0.2">
      <c r="A24" s="29">
        <v>46054</v>
      </c>
      <c r="B24" s="12" t="s">
        <v>37</v>
      </c>
      <c r="C24" s="30">
        <v>0</v>
      </c>
      <c r="D24" s="30">
        <v>0</v>
      </c>
      <c r="E24" s="30">
        <v>0</v>
      </c>
      <c r="F24" s="31">
        <v>0</v>
      </c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3"/>
      <c r="T24" s="33"/>
      <c r="U24" s="33"/>
      <c r="V24" s="33"/>
      <c r="W24" s="33"/>
      <c r="X24" s="34"/>
      <c r="Y24" s="34"/>
    </row>
    <row r="25" spans="1:25" x14ac:dyDescent="0.2">
      <c r="A25" s="29">
        <v>46055</v>
      </c>
      <c r="B25" s="12" t="s">
        <v>38</v>
      </c>
      <c r="C25" s="30">
        <v>2</v>
      </c>
      <c r="D25" s="30">
        <v>38</v>
      </c>
      <c r="E25" s="30">
        <v>0</v>
      </c>
      <c r="F25" s="31">
        <v>0</v>
      </c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0">
        <v>0</v>
      </c>
      <c r="R25" s="30">
        <v>0</v>
      </c>
      <c r="S25" s="35">
        <v>0</v>
      </c>
      <c r="T25" s="36">
        <v>0</v>
      </c>
      <c r="U25" s="37">
        <v>0</v>
      </c>
      <c r="V25" s="38">
        <v>0</v>
      </c>
      <c r="W25" s="37">
        <v>25</v>
      </c>
      <c r="X25" s="34"/>
      <c r="Y25" s="34"/>
    </row>
    <row r="26" spans="1:25" x14ac:dyDescent="0.2">
      <c r="A26" s="29">
        <v>46056</v>
      </c>
      <c r="B26" s="12" t="s">
        <v>39</v>
      </c>
      <c r="C26" s="30">
        <v>95</v>
      </c>
      <c r="D26" s="54">
        <v>1469</v>
      </c>
      <c r="E26" s="30">
        <v>36</v>
      </c>
      <c r="F26" s="31">
        <v>0.37890000000000001</v>
      </c>
      <c r="G26" s="32"/>
      <c r="H26" s="30">
        <v>38</v>
      </c>
      <c r="I26" s="32"/>
      <c r="J26" s="32"/>
      <c r="K26" s="32"/>
      <c r="L26" s="30">
        <v>31.5</v>
      </c>
      <c r="M26" s="32"/>
      <c r="N26" s="32"/>
      <c r="O26" s="32"/>
      <c r="P26" s="32"/>
      <c r="Q26" s="30">
        <v>65</v>
      </c>
      <c r="R26" s="30">
        <v>134.5</v>
      </c>
      <c r="S26" s="39">
        <v>9.1600000000000001E-2</v>
      </c>
      <c r="T26" s="36">
        <v>5.38</v>
      </c>
      <c r="U26" s="37">
        <v>134.5</v>
      </c>
      <c r="V26" s="38">
        <v>5.38</v>
      </c>
      <c r="W26" s="40">
        <v>25</v>
      </c>
      <c r="X26" s="41">
        <v>0</v>
      </c>
      <c r="Y26" s="41">
        <v>0.28000000000000003</v>
      </c>
    </row>
    <row r="27" spans="1:25" x14ac:dyDescent="0.2">
      <c r="A27" s="29">
        <v>46057</v>
      </c>
      <c r="B27" s="12" t="s">
        <v>40</v>
      </c>
      <c r="C27" s="30">
        <v>36</v>
      </c>
      <c r="D27" s="30">
        <v>834</v>
      </c>
      <c r="E27" s="30">
        <v>25</v>
      </c>
      <c r="F27" s="31">
        <v>0.69440000000000002</v>
      </c>
      <c r="G27" s="30">
        <v>17</v>
      </c>
      <c r="H27" s="30">
        <v>32</v>
      </c>
      <c r="I27" s="32"/>
      <c r="J27" s="32"/>
      <c r="K27" s="30">
        <v>2</v>
      </c>
      <c r="L27" s="30">
        <v>11</v>
      </c>
      <c r="M27" s="32"/>
      <c r="N27" s="32"/>
      <c r="O27" s="32"/>
      <c r="P27" s="32"/>
      <c r="Q27" s="30">
        <v>1</v>
      </c>
      <c r="R27" s="30">
        <v>64</v>
      </c>
      <c r="S27" s="35">
        <v>7.6700000000000004E-2</v>
      </c>
      <c r="T27" s="36">
        <v>2.56</v>
      </c>
      <c r="U27" s="37">
        <v>46</v>
      </c>
      <c r="V27" s="38">
        <v>1.84</v>
      </c>
      <c r="W27" s="37">
        <v>25</v>
      </c>
      <c r="X27" s="41">
        <v>0.27</v>
      </c>
      <c r="Y27" s="41">
        <v>0.5</v>
      </c>
    </row>
    <row r="28" spans="1:25" x14ac:dyDescent="0.2">
      <c r="A28" s="29">
        <v>46058</v>
      </c>
      <c r="B28" s="12" t="s">
        <v>41</v>
      </c>
      <c r="C28" s="30">
        <v>132</v>
      </c>
      <c r="D28" s="54">
        <v>2385</v>
      </c>
      <c r="E28" s="30">
        <v>54</v>
      </c>
      <c r="F28" s="31">
        <v>0.40910000000000002</v>
      </c>
      <c r="G28" s="30">
        <v>1</v>
      </c>
      <c r="H28" s="30">
        <v>83</v>
      </c>
      <c r="I28" s="32"/>
      <c r="J28" s="32"/>
      <c r="K28" s="32"/>
      <c r="L28" s="30">
        <v>35.5</v>
      </c>
      <c r="M28" s="32"/>
      <c r="N28" s="32"/>
      <c r="O28" s="32"/>
      <c r="P28" s="32"/>
      <c r="Q28" s="30">
        <v>62</v>
      </c>
      <c r="R28" s="30">
        <v>181.5</v>
      </c>
      <c r="S28" s="35">
        <v>7.6100000000000001E-2</v>
      </c>
      <c r="T28" s="36">
        <v>7.26</v>
      </c>
      <c r="U28" s="37">
        <v>180.5</v>
      </c>
      <c r="V28" s="38">
        <v>7.22</v>
      </c>
      <c r="W28" s="37">
        <v>25</v>
      </c>
      <c r="X28" s="41">
        <v>0.01</v>
      </c>
      <c r="Y28" s="41">
        <v>0.46</v>
      </c>
    </row>
    <row r="29" spans="1:25" x14ac:dyDescent="0.2">
      <c r="A29" s="29">
        <v>46059</v>
      </c>
      <c r="B29" s="12" t="s">
        <v>42</v>
      </c>
      <c r="C29" s="30">
        <v>30</v>
      </c>
      <c r="D29" s="30">
        <v>576</v>
      </c>
      <c r="E29" s="30">
        <v>19</v>
      </c>
      <c r="F29" s="31">
        <v>0.63329999999999997</v>
      </c>
      <c r="G29" s="30">
        <v>3.5</v>
      </c>
      <c r="H29" s="30">
        <v>28.5</v>
      </c>
      <c r="I29" s="32"/>
      <c r="J29" s="32"/>
      <c r="K29" s="32"/>
      <c r="L29" s="30">
        <v>15</v>
      </c>
      <c r="M29" s="32"/>
      <c r="N29" s="32"/>
      <c r="O29" s="32"/>
      <c r="P29" s="32"/>
      <c r="Q29" s="30">
        <v>72</v>
      </c>
      <c r="R29" s="30">
        <v>119</v>
      </c>
      <c r="S29" s="35">
        <v>0.20660000000000001</v>
      </c>
      <c r="T29" s="36">
        <v>4.76</v>
      </c>
      <c r="U29" s="37">
        <v>115.5</v>
      </c>
      <c r="V29" s="38">
        <v>4.62</v>
      </c>
      <c r="W29" s="37">
        <v>25</v>
      </c>
      <c r="X29" s="41">
        <v>0.03</v>
      </c>
      <c r="Y29" s="41">
        <v>0.24</v>
      </c>
    </row>
    <row r="30" spans="1:25" x14ac:dyDescent="0.2">
      <c r="A30" s="29">
        <v>46060</v>
      </c>
      <c r="B30" s="12" t="s">
        <v>43</v>
      </c>
      <c r="C30" s="30">
        <v>30</v>
      </c>
      <c r="D30" s="30">
        <v>618</v>
      </c>
      <c r="E30" s="30">
        <v>18</v>
      </c>
      <c r="F30" s="31">
        <v>0.6</v>
      </c>
      <c r="G30" s="30">
        <v>10</v>
      </c>
      <c r="H30" s="30">
        <v>25</v>
      </c>
      <c r="I30" s="32"/>
      <c r="J30" s="32"/>
      <c r="K30" s="32"/>
      <c r="L30" s="30">
        <v>5</v>
      </c>
      <c r="M30" s="32"/>
      <c r="N30" s="32"/>
      <c r="O30" s="32"/>
      <c r="P30" s="32"/>
      <c r="Q30" s="30">
        <v>3</v>
      </c>
      <c r="R30" s="30">
        <v>43</v>
      </c>
      <c r="S30" s="35">
        <v>6.9599999999999995E-2</v>
      </c>
      <c r="T30" s="36">
        <v>1.72</v>
      </c>
      <c r="U30" s="37">
        <v>33</v>
      </c>
      <c r="V30" s="38">
        <v>1.32</v>
      </c>
      <c r="W30" s="37">
        <v>25</v>
      </c>
      <c r="X30" s="41">
        <v>0.23</v>
      </c>
      <c r="Y30" s="41">
        <v>0.57999999999999996</v>
      </c>
    </row>
    <row r="31" spans="1:25" x14ac:dyDescent="0.2">
      <c r="A31" s="29">
        <v>46061</v>
      </c>
      <c r="B31" s="12" t="s">
        <v>44</v>
      </c>
      <c r="C31" s="30">
        <v>32</v>
      </c>
      <c r="D31" s="30">
        <v>708</v>
      </c>
      <c r="E31" s="30">
        <v>20</v>
      </c>
      <c r="F31" s="31">
        <v>0.625</v>
      </c>
      <c r="G31" s="30">
        <v>11</v>
      </c>
      <c r="H31" s="30">
        <v>15</v>
      </c>
      <c r="I31" s="32"/>
      <c r="J31" s="32"/>
      <c r="K31" s="32"/>
      <c r="L31" s="30">
        <v>15</v>
      </c>
      <c r="M31" s="32"/>
      <c r="N31" s="32"/>
      <c r="O31" s="32"/>
      <c r="P31" s="32"/>
      <c r="Q31" s="30">
        <v>0</v>
      </c>
      <c r="R31" s="30">
        <v>41</v>
      </c>
      <c r="S31" s="35">
        <v>5.79E-2</v>
      </c>
      <c r="T31" s="36">
        <v>1.64</v>
      </c>
      <c r="U31" s="37">
        <v>30</v>
      </c>
      <c r="V31" s="38">
        <v>1.2</v>
      </c>
      <c r="W31" s="37">
        <v>25</v>
      </c>
      <c r="X31" s="41">
        <v>0.27</v>
      </c>
      <c r="Y31" s="41">
        <v>0.37</v>
      </c>
    </row>
    <row r="32" spans="1:25" x14ac:dyDescent="0.2">
      <c r="A32" s="29">
        <v>46062</v>
      </c>
      <c r="B32" s="12" t="s">
        <v>45</v>
      </c>
      <c r="C32" s="30">
        <v>15</v>
      </c>
      <c r="D32" s="30">
        <v>361</v>
      </c>
      <c r="E32" s="30">
        <v>9</v>
      </c>
      <c r="F32" s="31">
        <v>0.6</v>
      </c>
      <c r="G32" s="30">
        <v>2</v>
      </c>
      <c r="H32" s="30">
        <v>7</v>
      </c>
      <c r="I32" s="30">
        <v>31</v>
      </c>
      <c r="J32" s="32"/>
      <c r="K32" s="32"/>
      <c r="L32" s="30">
        <v>8</v>
      </c>
      <c r="M32" s="32"/>
      <c r="N32" s="32"/>
      <c r="O32" s="32"/>
      <c r="P32" s="32"/>
      <c r="Q32" s="30">
        <v>2</v>
      </c>
      <c r="R32" s="30">
        <v>50</v>
      </c>
      <c r="S32" s="35">
        <v>0.13850000000000001</v>
      </c>
      <c r="T32" s="36">
        <v>2</v>
      </c>
      <c r="U32" s="37">
        <v>17</v>
      </c>
      <c r="V32" s="38">
        <v>0.68</v>
      </c>
      <c r="W32" s="37">
        <v>25</v>
      </c>
      <c r="X32" s="41">
        <v>0.04</v>
      </c>
      <c r="Y32" s="41">
        <v>0.14000000000000001</v>
      </c>
    </row>
    <row r="33" spans="1:25" x14ac:dyDescent="0.2">
      <c r="A33" s="29">
        <v>46063</v>
      </c>
      <c r="B33" s="12" t="s">
        <v>46</v>
      </c>
      <c r="C33" s="30">
        <v>45</v>
      </c>
      <c r="D33" s="30">
        <v>768</v>
      </c>
      <c r="E33" s="30">
        <v>25</v>
      </c>
      <c r="F33" s="42">
        <v>0.55559999999999998</v>
      </c>
      <c r="G33" s="30">
        <v>1</v>
      </c>
      <c r="H33" s="30">
        <v>32</v>
      </c>
      <c r="I33" s="32"/>
      <c r="J33" s="32"/>
      <c r="K33" s="32"/>
      <c r="L33" s="30">
        <v>14.5</v>
      </c>
      <c r="M33" s="32"/>
      <c r="N33" s="32"/>
      <c r="O33" s="32"/>
      <c r="P33" s="32"/>
      <c r="Q33" s="30">
        <v>33</v>
      </c>
      <c r="R33" s="30">
        <v>80.5</v>
      </c>
      <c r="S33" s="39">
        <v>0.1048</v>
      </c>
      <c r="T33" s="36">
        <v>3.22</v>
      </c>
      <c r="U33" s="37">
        <v>79.5</v>
      </c>
      <c r="V33" s="38">
        <v>3.18</v>
      </c>
      <c r="W33" s="37">
        <v>25</v>
      </c>
      <c r="X33" s="41">
        <v>0.01</v>
      </c>
      <c r="Y33" s="41">
        <v>0.4</v>
      </c>
    </row>
    <row r="34" spans="1:25" x14ac:dyDescent="0.2">
      <c r="A34" s="29">
        <v>46064</v>
      </c>
      <c r="B34" s="12" t="s">
        <v>47</v>
      </c>
      <c r="C34" s="30">
        <v>62</v>
      </c>
      <c r="D34" s="54">
        <v>1054</v>
      </c>
      <c r="E34" s="30">
        <v>34</v>
      </c>
      <c r="F34" s="31">
        <v>0.5484</v>
      </c>
      <c r="G34" s="30">
        <v>11.5</v>
      </c>
      <c r="H34" s="30">
        <v>44.5</v>
      </c>
      <c r="I34" s="32"/>
      <c r="J34" s="32"/>
      <c r="K34" s="30">
        <v>1.5</v>
      </c>
      <c r="L34" s="30">
        <v>37.5</v>
      </c>
      <c r="M34" s="32"/>
      <c r="N34" s="32"/>
      <c r="O34" s="32"/>
      <c r="P34" s="32"/>
      <c r="Q34" s="30">
        <v>32</v>
      </c>
      <c r="R34" s="30">
        <v>127</v>
      </c>
      <c r="S34" s="35">
        <v>0.1205</v>
      </c>
      <c r="T34" s="36">
        <v>5.08</v>
      </c>
      <c r="U34" s="37">
        <v>115.5</v>
      </c>
      <c r="V34" s="38">
        <v>4.62</v>
      </c>
      <c r="W34" s="37">
        <v>25</v>
      </c>
      <c r="X34" s="41">
        <v>0.09</v>
      </c>
      <c r="Y34" s="41">
        <v>0.35</v>
      </c>
    </row>
    <row r="35" spans="1:25" x14ac:dyDescent="0.2">
      <c r="A35" s="29">
        <v>46065</v>
      </c>
      <c r="B35" s="12" t="s">
        <v>48</v>
      </c>
      <c r="C35" s="30">
        <v>8</v>
      </c>
      <c r="D35" s="30">
        <v>133</v>
      </c>
      <c r="E35" s="30">
        <v>5</v>
      </c>
      <c r="F35" s="31">
        <v>0.625</v>
      </c>
      <c r="G35" s="30">
        <v>4</v>
      </c>
      <c r="H35" s="30">
        <v>10.5</v>
      </c>
      <c r="I35" s="32"/>
      <c r="J35" s="32"/>
      <c r="K35" s="32"/>
      <c r="L35" s="30">
        <v>9</v>
      </c>
      <c r="M35" s="32"/>
      <c r="N35" s="32"/>
      <c r="O35" s="32"/>
      <c r="P35" s="32"/>
      <c r="Q35" s="30">
        <v>3</v>
      </c>
      <c r="R35" s="30">
        <v>26.5</v>
      </c>
      <c r="S35" s="35">
        <v>0.19919999999999999</v>
      </c>
      <c r="T35" s="36">
        <v>1.06</v>
      </c>
      <c r="U35" s="37">
        <v>22.5</v>
      </c>
      <c r="V35" s="38">
        <v>0.9</v>
      </c>
      <c r="W35" s="37">
        <v>25</v>
      </c>
      <c r="X35" s="41">
        <v>0.15</v>
      </c>
      <c r="Y35" s="41">
        <v>0.4</v>
      </c>
    </row>
    <row r="36" spans="1:25" x14ac:dyDescent="0.2">
      <c r="A36" s="29">
        <v>46066</v>
      </c>
      <c r="B36" s="14" t="s">
        <v>49</v>
      </c>
      <c r="C36" s="30">
        <v>42</v>
      </c>
      <c r="D36" s="30">
        <v>771</v>
      </c>
      <c r="E36" s="30">
        <v>22</v>
      </c>
      <c r="F36" s="31">
        <v>0.52380000000000004</v>
      </c>
      <c r="G36" s="30">
        <v>8.5</v>
      </c>
      <c r="H36" s="30">
        <v>45</v>
      </c>
      <c r="I36" s="32"/>
      <c r="J36" s="32"/>
      <c r="K36" s="32"/>
      <c r="L36" s="30">
        <v>14.5</v>
      </c>
      <c r="M36" s="32"/>
      <c r="N36" s="32"/>
      <c r="O36" s="32"/>
      <c r="P36" s="32"/>
      <c r="Q36" s="32"/>
      <c r="R36" s="30">
        <v>68</v>
      </c>
      <c r="S36" s="35">
        <v>8.8200000000000001E-2</v>
      </c>
      <c r="T36" s="36">
        <v>2.72</v>
      </c>
      <c r="U36" s="37">
        <v>59.5</v>
      </c>
      <c r="V36" s="38">
        <v>2.38</v>
      </c>
      <c r="W36" s="37">
        <v>25</v>
      </c>
      <c r="X36" s="41">
        <v>0.13</v>
      </c>
      <c r="Y36" s="41">
        <v>0.66</v>
      </c>
    </row>
    <row r="37" spans="1:25" x14ac:dyDescent="0.2">
      <c r="A37" s="29">
        <v>46067</v>
      </c>
      <c r="B37" s="12" t="s">
        <v>50</v>
      </c>
      <c r="C37" s="30">
        <v>21</v>
      </c>
      <c r="D37" s="30">
        <v>279</v>
      </c>
      <c r="E37" s="30">
        <v>8</v>
      </c>
      <c r="F37" s="31">
        <v>0.38100000000000001</v>
      </c>
      <c r="G37" s="30">
        <v>0.5</v>
      </c>
      <c r="H37" s="30">
        <v>9</v>
      </c>
      <c r="I37" s="32"/>
      <c r="J37" s="32"/>
      <c r="K37" s="32"/>
      <c r="L37" s="30">
        <v>1</v>
      </c>
      <c r="M37" s="32"/>
      <c r="N37" s="32"/>
      <c r="O37" s="32"/>
      <c r="P37" s="32"/>
      <c r="Q37" s="30">
        <v>10</v>
      </c>
      <c r="R37" s="30">
        <v>20.5</v>
      </c>
      <c r="S37" s="35">
        <v>7.3499999999999996E-2</v>
      </c>
      <c r="T37" s="36">
        <v>0.82</v>
      </c>
      <c r="U37" s="37">
        <v>20</v>
      </c>
      <c r="V37" s="38">
        <v>0.8</v>
      </c>
      <c r="W37" s="37">
        <v>25</v>
      </c>
      <c r="X37" s="41">
        <v>0.02</v>
      </c>
      <c r="Y37" s="41">
        <v>0.44</v>
      </c>
    </row>
    <row r="38" spans="1:25" x14ac:dyDescent="0.2">
      <c r="A38" s="29">
        <v>46068</v>
      </c>
      <c r="B38" s="12" t="s">
        <v>51</v>
      </c>
      <c r="C38" s="30">
        <v>76</v>
      </c>
      <c r="D38" s="54">
        <v>1781</v>
      </c>
      <c r="E38" s="30">
        <v>45</v>
      </c>
      <c r="F38" s="31">
        <v>0.59209999999999996</v>
      </c>
      <c r="G38" s="30">
        <v>33</v>
      </c>
      <c r="H38" s="30">
        <v>44</v>
      </c>
      <c r="I38" s="32"/>
      <c r="J38" s="32"/>
      <c r="K38" s="30">
        <v>3</v>
      </c>
      <c r="L38" s="30">
        <v>33</v>
      </c>
      <c r="M38" s="32"/>
      <c r="N38" s="32"/>
      <c r="O38" s="32"/>
      <c r="P38" s="32"/>
      <c r="Q38" s="30">
        <v>5</v>
      </c>
      <c r="R38" s="30">
        <v>120</v>
      </c>
      <c r="S38" s="35">
        <v>6.7400000000000002E-2</v>
      </c>
      <c r="T38" s="36">
        <v>4.8</v>
      </c>
      <c r="U38" s="37">
        <v>85</v>
      </c>
      <c r="V38" s="38">
        <v>3.4</v>
      </c>
      <c r="W38" s="37">
        <v>25</v>
      </c>
      <c r="X38" s="41">
        <v>0.28000000000000003</v>
      </c>
      <c r="Y38" s="41">
        <v>0.37</v>
      </c>
    </row>
    <row r="39" spans="1:25" x14ac:dyDescent="0.2">
      <c r="A39" s="29">
        <v>46069</v>
      </c>
      <c r="B39" s="12" t="s">
        <v>52</v>
      </c>
      <c r="C39" s="30">
        <v>86</v>
      </c>
      <c r="D39" s="54">
        <v>1552</v>
      </c>
      <c r="E39" s="30">
        <v>47</v>
      </c>
      <c r="F39" s="31">
        <v>0.54649999999999999</v>
      </c>
      <c r="G39" s="30">
        <v>27</v>
      </c>
      <c r="H39" s="30">
        <v>77.5</v>
      </c>
      <c r="I39" s="30">
        <v>1</v>
      </c>
      <c r="J39" s="32"/>
      <c r="K39" s="32"/>
      <c r="L39" s="30">
        <v>35.5</v>
      </c>
      <c r="M39" s="32"/>
      <c r="N39" s="32"/>
      <c r="O39" s="32"/>
      <c r="P39" s="32"/>
      <c r="Q39" s="30">
        <v>42</v>
      </c>
      <c r="R39" s="30">
        <v>182</v>
      </c>
      <c r="S39" s="35">
        <v>0.1173</v>
      </c>
      <c r="T39" s="36">
        <v>7.28</v>
      </c>
      <c r="U39" s="37">
        <v>77.5</v>
      </c>
      <c r="V39" s="38">
        <v>3.1</v>
      </c>
      <c r="W39" s="37">
        <v>25</v>
      </c>
      <c r="X39" s="41">
        <v>0.15</v>
      </c>
      <c r="Y39" s="41">
        <v>0.43</v>
      </c>
    </row>
    <row r="40" spans="1:25" x14ac:dyDescent="0.2">
      <c r="A40" s="29">
        <v>46070</v>
      </c>
      <c r="B40" s="12" t="s">
        <v>53</v>
      </c>
      <c r="C40" s="30">
        <v>18</v>
      </c>
      <c r="D40" s="30">
        <v>291</v>
      </c>
      <c r="E40" s="30">
        <v>8</v>
      </c>
      <c r="F40" s="31">
        <v>0.44440000000000002</v>
      </c>
      <c r="G40" s="32"/>
      <c r="H40" s="30">
        <v>9</v>
      </c>
      <c r="I40" s="32"/>
      <c r="J40" s="32"/>
      <c r="K40" s="32"/>
      <c r="L40" s="30">
        <v>15</v>
      </c>
      <c r="M40" s="32"/>
      <c r="N40" s="32"/>
      <c r="O40" s="32"/>
      <c r="P40" s="32"/>
      <c r="Q40" s="30">
        <v>11</v>
      </c>
      <c r="R40" s="30">
        <v>35</v>
      </c>
      <c r="S40" s="35">
        <v>0.1203</v>
      </c>
      <c r="T40" s="36">
        <v>1.4</v>
      </c>
      <c r="U40" s="37">
        <v>35</v>
      </c>
      <c r="V40" s="38">
        <v>1.4</v>
      </c>
      <c r="W40" s="37">
        <v>25</v>
      </c>
      <c r="X40" s="41">
        <v>0</v>
      </c>
      <c r="Y40" s="41">
        <v>0.26</v>
      </c>
    </row>
    <row r="41" spans="1:25" x14ac:dyDescent="0.2">
      <c r="A41" s="29">
        <v>46071</v>
      </c>
      <c r="B41" s="14" t="s">
        <v>54</v>
      </c>
      <c r="C41" s="30">
        <v>5</v>
      </c>
      <c r="D41" s="30">
        <v>101</v>
      </c>
      <c r="E41" s="30">
        <v>2</v>
      </c>
      <c r="F41" s="31">
        <v>0.4</v>
      </c>
      <c r="G41" s="32"/>
      <c r="H41" s="30">
        <v>2</v>
      </c>
      <c r="I41" s="32"/>
      <c r="J41" s="32"/>
      <c r="K41" s="32"/>
      <c r="L41" s="30">
        <v>1</v>
      </c>
      <c r="M41" s="32"/>
      <c r="N41" s="32"/>
      <c r="O41" s="32"/>
      <c r="P41" s="32"/>
      <c r="Q41" s="32"/>
      <c r="R41" s="30">
        <v>3</v>
      </c>
      <c r="S41" s="35">
        <v>2.9700000000000001E-2</v>
      </c>
      <c r="T41" s="36">
        <v>0.12</v>
      </c>
      <c r="U41" s="37">
        <v>3</v>
      </c>
      <c r="V41" s="38">
        <v>0.12</v>
      </c>
      <c r="W41" s="37">
        <v>25</v>
      </c>
      <c r="X41" s="41">
        <v>0</v>
      </c>
      <c r="Y41" s="41">
        <v>0.67</v>
      </c>
    </row>
    <row r="42" spans="1:25" x14ac:dyDescent="0.2">
      <c r="A42" s="29">
        <v>46072</v>
      </c>
      <c r="B42" s="12" t="s">
        <v>55</v>
      </c>
      <c r="C42" s="30">
        <v>155</v>
      </c>
      <c r="D42" s="54">
        <v>3221</v>
      </c>
      <c r="E42" s="30">
        <v>77</v>
      </c>
      <c r="F42" s="31">
        <v>0.49680000000000002</v>
      </c>
      <c r="G42" s="30">
        <v>24.5</v>
      </c>
      <c r="H42" s="30">
        <v>168.5</v>
      </c>
      <c r="I42" s="30">
        <v>3</v>
      </c>
      <c r="J42" s="32"/>
      <c r="K42" s="30">
        <v>1</v>
      </c>
      <c r="L42" s="30">
        <v>55.5</v>
      </c>
      <c r="M42" s="32"/>
      <c r="N42" s="32"/>
      <c r="O42" s="32"/>
      <c r="P42" s="32"/>
      <c r="Q42" s="30">
        <v>86</v>
      </c>
      <c r="R42" s="30">
        <v>342.5</v>
      </c>
      <c r="S42" s="35">
        <v>0.10630000000000001</v>
      </c>
      <c r="T42" s="36">
        <v>13.7</v>
      </c>
      <c r="U42" s="37">
        <v>311</v>
      </c>
      <c r="V42" s="38">
        <v>12.44</v>
      </c>
      <c r="W42" s="37">
        <v>25</v>
      </c>
      <c r="X42" s="41">
        <v>7.0000000000000007E-2</v>
      </c>
      <c r="Y42" s="41">
        <v>0.49</v>
      </c>
    </row>
    <row r="43" spans="1:25" x14ac:dyDescent="0.2">
      <c r="A43" s="29">
        <v>46073</v>
      </c>
      <c r="B43" s="12" t="s">
        <v>56</v>
      </c>
      <c r="C43" s="30">
        <v>0</v>
      </c>
      <c r="D43" s="30">
        <v>0</v>
      </c>
      <c r="E43" s="30">
        <v>0</v>
      </c>
      <c r="F43" s="31">
        <v>0</v>
      </c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3"/>
      <c r="T43" s="43"/>
      <c r="U43" s="33"/>
      <c r="V43" s="44"/>
      <c r="W43" s="33"/>
      <c r="X43" s="34"/>
      <c r="Y43" s="34"/>
    </row>
    <row r="44" spans="1:25" x14ac:dyDescent="0.2">
      <c r="A44" s="29">
        <v>46074</v>
      </c>
      <c r="B44" s="12" t="s">
        <v>57</v>
      </c>
      <c r="C44" s="30">
        <v>19</v>
      </c>
      <c r="D44" s="30">
        <v>383</v>
      </c>
      <c r="E44" s="30">
        <v>14</v>
      </c>
      <c r="F44" s="31">
        <v>0.73680000000000001</v>
      </c>
      <c r="G44" s="32"/>
      <c r="H44" s="30">
        <v>28</v>
      </c>
      <c r="I44" s="32"/>
      <c r="J44" s="32"/>
      <c r="K44" s="32"/>
      <c r="L44" s="30">
        <v>17</v>
      </c>
      <c r="M44" s="32"/>
      <c r="N44" s="32"/>
      <c r="O44" s="32"/>
      <c r="P44" s="32"/>
      <c r="Q44" s="30">
        <v>17</v>
      </c>
      <c r="R44" s="30">
        <v>62</v>
      </c>
      <c r="S44" s="35">
        <v>0.16189999999999999</v>
      </c>
      <c r="T44" s="36">
        <v>2.48</v>
      </c>
      <c r="U44" s="37">
        <v>62</v>
      </c>
      <c r="V44" s="38">
        <v>2.48</v>
      </c>
      <c r="W44" s="37">
        <v>25</v>
      </c>
      <c r="X44" s="41">
        <v>0</v>
      </c>
      <c r="Y44" s="41">
        <v>0.45</v>
      </c>
    </row>
    <row r="45" spans="1:25" x14ac:dyDescent="0.2">
      <c r="A45" s="29">
        <v>46075</v>
      </c>
      <c r="B45" s="15" t="s">
        <v>58</v>
      </c>
      <c r="C45" s="30">
        <v>2</v>
      </c>
      <c r="D45" s="30">
        <v>30</v>
      </c>
      <c r="E45" s="30">
        <v>1</v>
      </c>
      <c r="F45" s="31">
        <v>0.5</v>
      </c>
      <c r="G45" s="32"/>
      <c r="H45" s="30">
        <v>1</v>
      </c>
      <c r="I45" s="32"/>
      <c r="J45" s="32"/>
      <c r="K45" s="32"/>
      <c r="L45" s="32"/>
      <c r="M45" s="32"/>
      <c r="N45" s="32"/>
      <c r="O45" s="32"/>
      <c r="P45" s="32"/>
      <c r="Q45" s="32"/>
      <c r="R45" s="30">
        <v>1</v>
      </c>
      <c r="S45" s="35">
        <v>3.3300000000000003E-2</v>
      </c>
      <c r="T45" s="36">
        <v>0.04</v>
      </c>
      <c r="U45" s="37">
        <v>1</v>
      </c>
      <c r="V45" s="38">
        <v>0.04</v>
      </c>
      <c r="W45" s="37">
        <v>25</v>
      </c>
      <c r="X45" s="41">
        <v>0</v>
      </c>
      <c r="Y45" s="41">
        <v>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000"/>
  <sheetViews>
    <sheetView showGridLines="0" workbookViewId="0"/>
  </sheetViews>
  <sheetFormatPr defaultColWidth="12.625" defaultRowHeight="15" customHeight="1" x14ac:dyDescent="0.2"/>
  <cols>
    <col min="1" max="1" width="7.625" customWidth="1"/>
    <col min="2" max="2" width="9.125" customWidth="1"/>
    <col min="3" max="3" width="12.125" customWidth="1"/>
    <col min="4" max="4" width="1.625" customWidth="1"/>
    <col min="5" max="5" width="8.375" customWidth="1"/>
    <col min="6" max="6" width="2.25" customWidth="1"/>
    <col min="7" max="7" width="8.875" customWidth="1"/>
    <col min="8" max="8" width="1.625" customWidth="1"/>
    <col min="9" max="10" width="9.125" customWidth="1"/>
    <col min="11" max="11" width="7.125" customWidth="1"/>
    <col min="12" max="12" width="10" customWidth="1"/>
    <col min="13" max="13" width="9.25" customWidth="1"/>
    <col min="14" max="14" width="8.125" customWidth="1"/>
    <col min="15" max="15" width="8.625" customWidth="1"/>
    <col min="16" max="17" width="9.5" customWidth="1"/>
    <col min="18" max="18" width="8.625" customWidth="1"/>
    <col min="19" max="19" width="8.75" customWidth="1"/>
    <col min="20" max="20" width="11.625" customWidth="1"/>
    <col min="21" max="21" width="12.375" customWidth="1"/>
    <col min="22" max="22" width="10.625" customWidth="1"/>
    <col min="23" max="23" width="10.5" customWidth="1"/>
    <col min="24" max="24" width="16.25" customWidth="1"/>
    <col min="25" max="25" width="11.5" customWidth="1"/>
    <col min="26" max="27" width="8.625" customWidth="1"/>
  </cols>
  <sheetData>
    <row r="1" spans="1:27" ht="14.25" customHeight="1" x14ac:dyDescent="0.2">
      <c r="A1" s="1"/>
    </row>
    <row r="2" spans="1:27" ht="14.25" customHeight="1" x14ac:dyDescent="0.2">
      <c r="A2" s="2"/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2</v>
      </c>
      <c r="I2" s="4" t="s">
        <v>6</v>
      </c>
      <c r="J2" s="4" t="s">
        <v>7</v>
      </c>
      <c r="K2" s="4" t="s">
        <v>8</v>
      </c>
      <c r="L2" s="4" t="s">
        <v>9</v>
      </c>
      <c r="M2" s="4" t="s">
        <v>10</v>
      </c>
      <c r="N2" s="4" t="s">
        <v>11</v>
      </c>
      <c r="O2" s="4" t="s">
        <v>12</v>
      </c>
      <c r="P2" s="4" t="s">
        <v>13</v>
      </c>
      <c r="Q2" s="4" t="s">
        <v>8</v>
      </c>
      <c r="R2" s="4" t="s">
        <v>7</v>
      </c>
      <c r="S2" s="4" t="s">
        <v>14</v>
      </c>
      <c r="T2" s="4" t="s">
        <v>15</v>
      </c>
      <c r="U2" s="4" t="s">
        <v>16</v>
      </c>
      <c r="V2" s="5" t="s">
        <v>17</v>
      </c>
      <c r="W2" s="6" t="s">
        <v>18</v>
      </c>
      <c r="X2" s="7" t="s">
        <v>19</v>
      </c>
      <c r="Y2" s="8" t="s">
        <v>20</v>
      </c>
    </row>
    <row r="3" spans="1:27" ht="14.25" customHeight="1" x14ac:dyDescent="0.2">
      <c r="A3" s="2" t="s">
        <v>59</v>
      </c>
      <c r="B3" s="3" t="s">
        <v>22</v>
      </c>
      <c r="C3" s="3" t="s">
        <v>23</v>
      </c>
      <c r="D3" s="3" t="s">
        <v>2</v>
      </c>
      <c r="E3" s="3" t="s">
        <v>24</v>
      </c>
      <c r="F3" s="3" t="s">
        <v>2</v>
      </c>
      <c r="G3" s="3" t="s">
        <v>25</v>
      </c>
      <c r="H3" s="3" t="s">
        <v>2</v>
      </c>
      <c r="I3" s="4" t="s">
        <v>26</v>
      </c>
      <c r="J3" s="4" t="s">
        <v>27</v>
      </c>
      <c r="K3" s="4" t="s">
        <v>28</v>
      </c>
      <c r="L3" s="4" t="s">
        <v>29</v>
      </c>
      <c r="M3" s="4" t="s">
        <v>30</v>
      </c>
      <c r="N3" s="4" t="s">
        <v>31</v>
      </c>
      <c r="O3" s="4" t="s">
        <v>32</v>
      </c>
      <c r="P3" s="4" t="s">
        <v>33</v>
      </c>
      <c r="Q3" s="4" t="s">
        <v>34</v>
      </c>
      <c r="R3" s="4" t="s">
        <v>35</v>
      </c>
      <c r="S3" s="4" t="s">
        <v>36</v>
      </c>
      <c r="T3" s="4" t="s">
        <v>23</v>
      </c>
      <c r="U3" s="4" t="s">
        <v>25</v>
      </c>
      <c r="V3" s="9" t="s">
        <v>23</v>
      </c>
      <c r="W3" s="10" t="s">
        <v>23</v>
      </c>
      <c r="X3" s="11" t="s">
        <v>23</v>
      </c>
      <c r="Y3" s="8"/>
    </row>
    <row r="4" spans="1:27" ht="15.75" customHeight="1" x14ac:dyDescent="0.2">
      <c r="A4" s="15">
        <v>43800</v>
      </c>
      <c r="B4" s="16">
        <v>2582</v>
      </c>
      <c r="C4" s="17">
        <v>59318</v>
      </c>
      <c r="D4" s="18" t="s">
        <v>2</v>
      </c>
      <c r="E4" s="18">
        <v>852</v>
      </c>
      <c r="F4" s="18" t="s">
        <v>2</v>
      </c>
      <c r="G4" s="12">
        <v>0.32990000000000003</v>
      </c>
      <c r="H4" s="18" t="s">
        <v>2</v>
      </c>
      <c r="I4" s="22">
        <v>1127</v>
      </c>
      <c r="J4" s="23">
        <v>622</v>
      </c>
      <c r="K4" s="18">
        <v>275</v>
      </c>
      <c r="L4" s="18">
        <v>0</v>
      </c>
      <c r="M4" s="18">
        <v>36</v>
      </c>
      <c r="N4" s="23">
        <v>130.5</v>
      </c>
      <c r="O4" s="18">
        <v>0</v>
      </c>
      <c r="P4" s="18">
        <v>0</v>
      </c>
      <c r="Q4" s="18">
        <v>0</v>
      </c>
      <c r="R4" s="18">
        <v>0</v>
      </c>
      <c r="S4" s="18">
        <v>24</v>
      </c>
      <c r="T4" s="24">
        <v>2214.5</v>
      </c>
      <c r="U4" s="25">
        <v>3.73E-2</v>
      </c>
      <c r="V4" s="26">
        <f t="shared" ref="V4:V13" si="0">T4/Y4</f>
        <v>96.282608695652172</v>
      </c>
      <c r="W4" s="18">
        <f t="shared" ref="W4:W13" si="1">M4+N4+O4+S4+J4</f>
        <v>812.5</v>
      </c>
      <c r="X4" s="27">
        <f t="shared" ref="X4:X13" si="2">W4/Y4</f>
        <v>35.326086956521742</v>
      </c>
      <c r="Y4" s="18">
        <v>23</v>
      </c>
      <c r="Z4" s="21">
        <f t="shared" ref="Z4:Z13" si="3">I4/T4</f>
        <v>0.50891849175886206</v>
      </c>
      <c r="AA4" s="21">
        <f t="shared" ref="AA4:AA13" si="4">J4/T4</f>
        <v>0.28087604425378188</v>
      </c>
    </row>
    <row r="5" spans="1:27" ht="15.75" customHeight="1" x14ac:dyDescent="0.2">
      <c r="A5" s="15">
        <v>43831</v>
      </c>
      <c r="B5" s="16">
        <v>2591</v>
      </c>
      <c r="C5" s="17">
        <v>48444</v>
      </c>
      <c r="D5" s="18" t="s">
        <v>2</v>
      </c>
      <c r="E5" s="18">
        <v>801</v>
      </c>
      <c r="F5" s="18" t="s">
        <v>2</v>
      </c>
      <c r="G5" s="12">
        <v>0.30909999999999999</v>
      </c>
      <c r="H5" s="18" t="s">
        <v>2</v>
      </c>
      <c r="I5" s="22">
        <v>973.5</v>
      </c>
      <c r="J5" s="23">
        <v>554.5</v>
      </c>
      <c r="K5" s="18">
        <v>335</v>
      </c>
      <c r="L5" s="18">
        <v>0</v>
      </c>
      <c r="M5" s="18">
        <v>25</v>
      </c>
      <c r="N5" s="23">
        <v>96.5</v>
      </c>
      <c r="O5" s="18">
        <v>1</v>
      </c>
      <c r="P5" s="18">
        <v>3</v>
      </c>
      <c r="Q5" s="18">
        <v>0</v>
      </c>
      <c r="R5" s="18">
        <v>3</v>
      </c>
      <c r="S5" s="18">
        <v>21</v>
      </c>
      <c r="T5" s="24">
        <v>2012.5</v>
      </c>
      <c r="U5" s="25">
        <v>4.1500000000000002E-2</v>
      </c>
      <c r="V5" s="26">
        <f t="shared" si="0"/>
        <v>105.92105263157895</v>
      </c>
      <c r="W5" s="18">
        <f t="shared" si="1"/>
        <v>698</v>
      </c>
      <c r="X5" s="27">
        <f t="shared" si="2"/>
        <v>36.736842105263158</v>
      </c>
      <c r="Y5" s="18">
        <v>19</v>
      </c>
      <c r="Z5" s="21">
        <f t="shared" si="3"/>
        <v>0.48372670807453416</v>
      </c>
      <c r="AA5" s="21">
        <f t="shared" si="4"/>
        <v>0.27552795031055899</v>
      </c>
    </row>
    <row r="6" spans="1:27" ht="15.75" customHeight="1" x14ac:dyDescent="0.2">
      <c r="A6" s="15">
        <v>43862</v>
      </c>
      <c r="B6" s="16">
        <v>2594</v>
      </c>
      <c r="C6" s="17">
        <v>59352</v>
      </c>
      <c r="D6" s="20" t="s">
        <v>2</v>
      </c>
      <c r="E6" s="20">
        <v>862</v>
      </c>
      <c r="F6" s="20" t="s">
        <v>2</v>
      </c>
      <c r="G6" s="12">
        <v>0.33229999999999998</v>
      </c>
      <c r="H6" s="20" t="s">
        <v>2</v>
      </c>
      <c r="I6" s="22">
        <v>863.5</v>
      </c>
      <c r="J6" s="23">
        <v>747.5</v>
      </c>
      <c r="K6" s="20">
        <v>315</v>
      </c>
      <c r="L6" s="20">
        <v>0</v>
      </c>
      <c r="M6" s="20">
        <v>31</v>
      </c>
      <c r="N6" s="23">
        <v>92.5</v>
      </c>
      <c r="O6" s="20">
        <v>0</v>
      </c>
      <c r="P6" s="20">
        <v>0</v>
      </c>
      <c r="Q6" s="20">
        <v>0</v>
      </c>
      <c r="R6" s="20">
        <v>10</v>
      </c>
      <c r="S6" s="20">
        <v>132</v>
      </c>
      <c r="T6" s="24">
        <v>2191.5</v>
      </c>
      <c r="U6" s="25">
        <v>3.6900000000000002E-2</v>
      </c>
      <c r="V6" s="26">
        <f t="shared" si="0"/>
        <v>95.282608695652172</v>
      </c>
      <c r="W6" s="18">
        <f t="shared" si="1"/>
        <v>1003</v>
      </c>
      <c r="X6" s="27">
        <f t="shared" si="2"/>
        <v>43.608695652173914</v>
      </c>
      <c r="Y6" s="20">
        <v>23</v>
      </c>
      <c r="Z6" s="21">
        <f t="shared" si="3"/>
        <v>0.39402235911476158</v>
      </c>
      <c r="AA6" s="21">
        <f t="shared" si="4"/>
        <v>0.34109057723020764</v>
      </c>
    </row>
    <row r="7" spans="1:27" ht="15.75" customHeight="1" x14ac:dyDescent="0.2">
      <c r="A7" s="15">
        <v>43891</v>
      </c>
      <c r="B7" s="16">
        <v>2669</v>
      </c>
      <c r="C7" s="17">
        <v>59399</v>
      </c>
      <c r="D7" s="20" t="s">
        <v>2</v>
      </c>
      <c r="E7" s="20">
        <v>910</v>
      </c>
      <c r="F7" s="20" t="s">
        <v>2</v>
      </c>
      <c r="G7" s="12">
        <v>0.34089999999999998</v>
      </c>
      <c r="H7" s="20" t="s">
        <v>2</v>
      </c>
      <c r="I7" s="22">
        <v>928.5</v>
      </c>
      <c r="J7" s="23">
        <v>635</v>
      </c>
      <c r="K7" s="20">
        <v>229</v>
      </c>
      <c r="L7" s="20">
        <v>0</v>
      </c>
      <c r="M7" s="20">
        <v>47</v>
      </c>
      <c r="N7" s="23">
        <v>121</v>
      </c>
      <c r="O7" s="20">
        <v>0</v>
      </c>
      <c r="P7" s="20">
        <v>15</v>
      </c>
      <c r="Q7" s="20">
        <v>0</v>
      </c>
      <c r="R7" s="20">
        <v>232.5</v>
      </c>
      <c r="S7" s="20">
        <v>82</v>
      </c>
      <c r="T7" s="24">
        <v>2290</v>
      </c>
      <c r="U7" s="25">
        <v>3.85E-2</v>
      </c>
      <c r="V7" s="26">
        <f t="shared" si="0"/>
        <v>99.565217391304344</v>
      </c>
      <c r="W7" s="18">
        <f t="shared" si="1"/>
        <v>885</v>
      </c>
      <c r="X7" s="27">
        <f t="shared" si="2"/>
        <v>38.478260869565219</v>
      </c>
      <c r="Y7" s="20">
        <v>23</v>
      </c>
      <c r="Z7" s="21">
        <f t="shared" si="3"/>
        <v>0.4054585152838428</v>
      </c>
      <c r="AA7" s="21">
        <f t="shared" si="4"/>
        <v>0.27729257641921395</v>
      </c>
    </row>
    <row r="8" spans="1:27" ht="15.75" customHeight="1" x14ac:dyDescent="0.2">
      <c r="A8" s="15">
        <v>43922</v>
      </c>
      <c r="B8" s="16">
        <v>2744</v>
      </c>
      <c r="C8" s="17">
        <v>62668</v>
      </c>
      <c r="D8" s="20" t="s">
        <v>2</v>
      </c>
      <c r="E8" s="20">
        <v>749</v>
      </c>
      <c r="F8" s="20" t="s">
        <v>2</v>
      </c>
      <c r="G8" s="12">
        <v>0.27289999999999998</v>
      </c>
      <c r="H8" s="20" t="s">
        <v>2</v>
      </c>
      <c r="I8" s="22">
        <v>713</v>
      </c>
      <c r="J8" s="23">
        <v>590.5</v>
      </c>
      <c r="K8" s="20">
        <v>202</v>
      </c>
      <c r="L8" s="20">
        <v>0</v>
      </c>
      <c r="M8" s="20">
        <v>27</v>
      </c>
      <c r="N8" s="23">
        <v>120.5</v>
      </c>
      <c r="O8" s="20">
        <v>0</v>
      </c>
      <c r="P8" s="20">
        <v>0</v>
      </c>
      <c r="Q8" s="20">
        <v>0</v>
      </c>
      <c r="R8" s="20">
        <v>212</v>
      </c>
      <c r="S8" s="20">
        <v>300</v>
      </c>
      <c r="T8" s="24">
        <v>2165</v>
      </c>
      <c r="U8" s="25">
        <v>3.4500000000000003E-2</v>
      </c>
      <c r="V8" s="26">
        <f t="shared" si="0"/>
        <v>94.130434782608702</v>
      </c>
      <c r="W8" s="18">
        <f t="shared" si="1"/>
        <v>1038</v>
      </c>
      <c r="X8" s="27">
        <f t="shared" si="2"/>
        <v>45.130434782608695</v>
      </c>
      <c r="Y8" s="20">
        <v>23</v>
      </c>
      <c r="Z8" s="21">
        <f t="shared" si="3"/>
        <v>0.32933025404157046</v>
      </c>
      <c r="AA8" s="21">
        <f t="shared" si="4"/>
        <v>0.27274826789838336</v>
      </c>
    </row>
    <row r="9" spans="1:27" ht="15.75" customHeight="1" x14ac:dyDescent="0.2">
      <c r="A9" s="15">
        <v>43952</v>
      </c>
      <c r="B9" s="16">
        <v>2738</v>
      </c>
      <c r="C9" s="17">
        <v>57338</v>
      </c>
      <c r="D9" s="20" t="s">
        <v>2</v>
      </c>
      <c r="E9" s="20">
        <v>589</v>
      </c>
      <c r="F9" s="20" t="s">
        <v>2</v>
      </c>
      <c r="G9" s="12">
        <v>0.21510000000000001</v>
      </c>
      <c r="H9" s="20" t="s">
        <v>2</v>
      </c>
      <c r="I9" s="22">
        <v>544</v>
      </c>
      <c r="J9" s="23">
        <v>496.5</v>
      </c>
      <c r="K9" s="20">
        <v>308</v>
      </c>
      <c r="L9" s="20">
        <v>0</v>
      </c>
      <c r="M9" s="20">
        <v>27</v>
      </c>
      <c r="N9" s="23">
        <v>79</v>
      </c>
      <c r="O9" s="20">
        <v>0</v>
      </c>
      <c r="P9" s="20">
        <v>0</v>
      </c>
      <c r="Q9" s="20">
        <v>0</v>
      </c>
      <c r="R9" s="20">
        <v>52</v>
      </c>
      <c r="S9" s="20">
        <v>52</v>
      </c>
      <c r="T9" s="24">
        <v>1558.5</v>
      </c>
      <c r="U9" s="25">
        <v>2.7099999999999999E-2</v>
      </c>
      <c r="V9" s="26">
        <f t="shared" si="0"/>
        <v>74.214285714285708</v>
      </c>
      <c r="W9" s="18">
        <f t="shared" si="1"/>
        <v>654.5</v>
      </c>
      <c r="X9" s="27">
        <f t="shared" si="2"/>
        <v>31.166666666666668</v>
      </c>
      <c r="Y9" s="20">
        <v>21</v>
      </c>
      <c r="Z9" s="21">
        <f t="shared" si="3"/>
        <v>0.34905357715752328</v>
      </c>
      <c r="AA9" s="21">
        <f t="shared" si="4"/>
        <v>0.31857555341674687</v>
      </c>
    </row>
    <row r="10" spans="1:27" ht="15.75" customHeight="1" x14ac:dyDescent="0.2">
      <c r="A10" s="15">
        <v>43983</v>
      </c>
      <c r="B10" s="16">
        <v>3143</v>
      </c>
      <c r="C10" s="17">
        <v>72053</v>
      </c>
      <c r="D10" s="20" t="s">
        <v>2</v>
      </c>
      <c r="E10" s="20">
        <v>1162</v>
      </c>
      <c r="F10" s="20" t="s">
        <v>2</v>
      </c>
      <c r="G10" s="12">
        <v>0.36969999999999997</v>
      </c>
      <c r="H10" s="20" t="s">
        <v>2</v>
      </c>
      <c r="I10" s="22">
        <v>1180.5</v>
      </c>
      <c r="J10" s="23">
        <v>596.5</v>
      </c>
      <c r="K10" s="20">
        <v>347</v>
      </c>
      <c r="L10" s="20">
        <v>0</v>
      </c>
      <c r="M10" s="20">
        <v>26</v>
      </c>
      <c r="N10" s="23">
        <v>147</v>
      </c>
      <c r="O10" s="20">
        <v>0</v>
      </c>
      <c r="P10" s="20">
        <v>0</v>
      </c>
      <c r="Q10" s="20">
        <v>0</v>
      </c>
      <c r="R10" s="20">
        <v>55</v>
      </c>
      <c r="S10" s="20">
        <v>130</v>
      </c>
      <c r="T10" s="24">
        <v>2482</v>
      </c>
      <c r="U10" s="25">
        <v>3.44E-2</v>
      </c>
      <c r="V10" s="26">
        <f t="shared" si="0"/>
        <v>107.91304347826087</v>
      </c>
      <c r="W10" s="18">
        <f t="shared" si="1"/>
        <v>899.5</v>
      </c>
      <c r="X10" s="27">
        <f t="shared" si="2"/>
        <v>39.108695652173914</v>
      </c>
      <c r="Y10" s="20">
        <v>23</v>
      </c>
      <c r="Z10" s="21">
        <f t="shared" si="3"/>
        <v>0.47562449637389204</v>
      </c>
      <c r="AA10" s="21">
        <f t="shared" si="4"/>
        <v>0.24033037872683319</v>
      </c>
    </row>
    <row r="11" spans="1:27" ht="15.75" customHeight="1" x14ac:dyDescent="0.2">
      <c r="A11" s="15">
        <v>44013</v>
      </c>
      <c r="B11" s="16">
        <v>3162</v>
      </c>
      <c r="C11" s="17">
        <v>66005</v>
      </c>
      <c r="D11" s="20" t="s">
        <v>2</v>
      </c>
      <c r="E11" s="20">
        <v>988</v>
      </c>
      <c r="F11" s="20" t="s">
        <v>2</v>
      </c>
      <c r="G11" s="12">
        <v>0.31240000000000001</v>
      </c>
      <c r="H11" s="20" t="s">
        <v>2</v>
      </c>
      <c r="I11" s="22">
        <v>1047.5</v>
      </c>
      <c r="J11" s="23">
        <v>569</v>
      </c>
      <c r="K11" s="20">
        <v>305</v>
      </c>
      <c r="L11" s="20">
        <v>0</v>
      </c>
      <c r="M11" s="20">
        <v>25</v>
      </c>
      <c r="N11" s="23">
        <v>153</v>
      </c>
      <c r="O11" s="20">
        <v>3</v>
      </c>
      <c r="P11" s="20">
        <v>3</v>
      </c>
      <c r="Q11" s="20">
        <v>0</v>
      </c>
      <c r="R11" s="20">
        <v>58.5</v>
      </c>
      <c r="S11" s="20">
        <v>149</v>
      </c>
      <c r="T11" s="24">
        <v>2313</v>
      </c>
      <c r="U11" s="25">
        <v>3.5000000000000003E-2</v>
      </c>
      <c r="V11" s="26">
        <f t="shared" si="0"/>
        <v>110.14285714285714</v>
      </c>
      <c r="W11" s="18">
        <f t="shared" si="1"/>
        <v>899</v>
      </c>
      <c r="X11" s="27">
        <f t="shared" si="2"/>
        <v>42.80952380952381</v>
      </c>
      <c r="Y11" s="20">
        <v>21</v>
      </c>
      <c r="Z11" s="21">
        <f t="shared" si="3"/>
        <v>0.45287505404236922</v>
      </c>
      <c r="AA11" s="21">
        <f t="shared" si="4"/>
        <v>0.24600086467790747</v>
      </c>
    </row>
    <row r="12" spans="1:27" ht="15.75" customHeight="1" x14ac:dyDescent="0.2">
      <c r="A12" s="15">
        <v>44044</v>
      </c>
      <c r="B12" s="16">
        <v>3163</v>
      </c>
      <c r="C12" s="17">
        <v>72553</v>
      </c>
      <c r="D12" s="20" t="s">
        <v>2</v>
      </c>
      <c r="E12" s="20">
        <v>1154</v>
      </c>
      <c r="F12" s="20" t="s">
        <v>2</v>
      </c>
      <c r="G12" s="12">
        <v>0.36480000000000001</v>
      </c>
      <c r="H12" s="20" t="s">
        <v>2</v>
      </c>
      <c r="I12" s="22">
        <v>1195.5</v>
      </c>
      <c r="J12" s="23">
        <v>836</v>
      </c>
      <c r="K12" s="20">
        <v>187</v>
      </c>
      <c r="L12" s="20">
        <v>0</v>
      </c>
      <c r="M12" s="20">
        <v>31</v>
      </c>
      <c r="N12" s="23">
        <v>168</v>
      </c>
      <c r="O12" s="20">
        <v>0</v>
      </c>
      <c r="P12" s="20">
        <v>12</v>
      </c>
      <c r="Q12" s="20">
        <v>0</v>
      </c>
      <c r="R12" s="20">
        <v>170.5</v>
      </c>
      <c r="S12" s="20">
        <v>106</v>
      </c>
      <c r="T12" s="24">
        <v>2706</v>
      </c>
      <c r="U12" s="25">
        <v>3.7199999999999997E-2</v>
      </c>
      <c r="V12" s="26">
        <f t="shared" si="0"/>
        <v>117.65217391304348</v>
      </c>
      <c r="W12" s="18">
        <f t="shared" si="1"/>
        <v>1141</v>
      </c>
      <c r="X12" s="27">
        <f t="shared" si="2"/>
        <v>49.608695652173914</v>
      </c>
      <c r="Y12" s="20">
        <v>23</v>
      </c>
      <c r="Z12" s="21">
        <f t="shared" si="3"/>
        <v>0.44179600886917958</v>
      </c>
      <c r="AA12" s="21">
        <f t="shared" si="4"/>
        <v>0.30894308943089432</v>
      </c>
    </row>
    <row r="13" spans="1:27" ht="15.75" customHeight="1" x14ac:dyDescent="0.2">
      <c r="A13" s="15">
        <v>44075</v>
      </c>
      <c r="B13" s="16">
        <v>3425</v>
      </c>
      <c r="C13" s="17">
        <v>71777</v>
      </c>
      <c r="D13" s="20" t="s">
        <v>2</v>
      </c>
      <c r="E13" s="20">
        <v>1069</v>
      </c>
      <c r="F13" s="20" t="s">
        <v>2</v>
      </c>
      <c r="G13" s="12">
        <v>0.31209999999999999</v>
      </c>
      <c r="H13" s="20" t="s">
        <v>2</v>
      </c>
      <c r="I13" s="22">
        <v>1134</v>
      </c>
      <c r="J13" s="23">
        <v>846</v>
      </c>
      <c r="K13" s="20">
        <v>191</v>
      </c>
      <c r="L13" s="20">
        <v>0</v>
      </c>
      <c r="M13" s="20">
        <v>31</v>
      </c>
      <c r="N13" s="23">
        <v>151</v>
      </c>
      <c r="O13" s="20">
        <v>0</v>
      </c>
      <c r="P13" s="20">
        <v>0</v>
      </c>
      <c r="Q13" s="20">
        <v>0</v>
      </c>
      <c r="R13" s="20">
        <v>76.5</v>
      </c>
      <c r="S13" s="20">
        <v>91</v>
      </c>
      <c r="T13" s="24">
        <v>2520.5</v>
      </c>
      <c r="U13" s="25">
        <v>3.5099999999999999E-2</v>
      </c>
      <c r="V13" s="26">
        <f t="shared" si="0"/>
        <v>120.02380952380952</v>
      </c>
      <c r="W13" s="18">
        <f t="shared" si="1"/>
        <v>1119</v>
      </c>
      <c r="X13" s="27">
        <f t="shared" si="2"/>
        <v>53.285714285714285</v>
      </c>
      <c r="Y13" s="20">
        <v>21</v>
      </c>
      <c r="Z13" s="21">
        <f t="shared" si="3"/>
        <v>0.4499107319976195</v>
      </c>
      <c r="AA13" s="21">
        <f t="shared" si="4"/>
        <v>0.33564768895060504</v>
      </c>
    </row>
    <row r="14" spans="1:27" ht="15.75" customHeight="1" x14ac:dyDescent="0.2">
      <c r="A14" s="15"/>
      <c r="B14" s="16"/>
      <c r="C14" s="17"/>
      <c r="G14" s="12"/>
      <c r="T14" s="17"/>
      <c r="U14" s="12"/>
      <c r="V14" s="26"/>
      <c r="W14" s="18"/>
      <c r="X14" s="27"/>
    </row>
    <row r="15" spans="1:27" ht="14.25" customHeight="1" x14ac:dyDescent="0.2"/>
    <row r="16" spans="1:27" ht="14.25" customHeight="1" x14ac:dyDescent="0.2"/>
    <row r="17" spans="1:16" ht="14.25" customHeight="1" x14ac:dyDescent="0.2"/>
    <row r="18" spans="1:16" ht="14.25" customHeight="1" x14ac:dyDescent="0.2">
      <c r="A18" s="2" t="s">
        <v>59</v>
      </c>
      <c r="B18" s="3" t="s">
        <v>25</v>
      </c>
      <c r="N18" s="2" t="s">
        <v>59</v>
      </c>
      <c r="O18" s="5" t="s">
        <v>17</v>
      </c>
      <c r="P18" s="7" t="s">
        <v>19</v>
      </c>
    </row>
    <row r="19" spans="1:16" ht="14.25" customHeight="1" x14ac:dyDescent="0.2">
      <c r="A19" s="15">
        <v>43800</v>
      </c>
      <c r="B19" s="12">
        <v>3.73E-2</v>
      </c>
      <c r="N19" s="15">
        <v>43800</v>
      </c>
      <c r="O19" s="26">
        <v>96.282608695652172</v>
      </c>
      <c r="P19" s="20">
        <v>35.33</v>
      </c>
    </row>
    <row r="20" spans="1:16" ht="14.25" customHeight="1" x14ac:dyDescent="0.2">
      <c r="A20" s="15">
        <v>43831</v>
      </c>
      <c r="B20" s="12">
        <v>4.1500000000000002E-2</v>
      </c>
      <c r="N20" s="15">
        <v>43831</v>
      </c>
      <c r="O20" s="26">
        <v>105.92105263157895</v>
      </c>
      <c r="P20" s="20">
        <v>36.74</v>
      </c>
    </row>
    <row r="21" spans="1:16" ht="14.25" customHeight="1" x14ac:dyDescent="0.2">
      <c r="A21" s="15">
        <v>43862</v>
      </c>
      <c r="B21" s="12">
        <v>3.6900000000000002E-2</v>
      </c>
      <c r="N21" s="15">
        <v>43862</v>
      </c>
      <c r="O21" s="26">
        <v>95.282608695652172</v>
      </c>
      <c r="P21" s="20">
        <v>43.61</v>
      </c>
    </row>
    <row r="22" spans="1:16" ht="14.25" customHeight="1" x14ac:dyDescent="0.2">
      <c r="A22" s="15">
        <v>43891</v>
      </c>
      <c r="B22" s="12">
        <v>3.85E-2</v>
      </c>
      <c r="N22" s="15">
        <v>43891</v>
      </c>
      <c r="O22" s="26">
        <v>99.565217391304344</v>
      </c>
      <c r="P22" s="20">
        <v>38.479999999999997</v>
      </c>
    </row>
    <row r="23" spans="1:16" ht="14.25" customHeight="1" x14ac:dyDescent="0.2">
      <c r="A23" s="15">
        <v>43922</v>
      </c>
      <c r="B23" s="12">
        <v>3.4500000000000003E-2</v>
      </c>
      <c r="N23" s="15">
        <v>43922</v>
      </c>
      <c r="O23" s="26">
        <v>94.130434782608702</v>
      </c>
      <c r="P23" s="20">
        <v>45.13</v>
      </c>
    </row>
    <row r="24" spans="1:16" ht="14.25" customHeight="1" x14ac:dyDescent="0.2">
      <c r="A24" s="15">
        <v>43952</v>
      </c>
      <c r="B24" s="12">
        <v>2.7099999999999999E-2</v>
      </c>
      <c r="N24" s="15">
        <v>43952</v>
      </c>
      <c r="O24" s="26">
        <v>74.214285714285708</v>
      </c>
      <c r="P24" s="20">
        <v>31.17</v>
      </c>
    </row>
    <row r="25" spans="1:16" ht="14.25" customHeight="1" x14ac:dyDescent="0.2">
      <c r="A25" s="15">
        <v>43983</v>
      </c>
      <c r="B25" s="12">
        <v>3.44E-2</v>
      </c>
      <c r="N25" s="15">
        <v>43983</v>
      </c>
      <c r="O25" s="19">
        <f t="shared" ref="O25:O28" si="5">V10</f>
        <v>107.91304347826087</v>
      </c>
      <c r="P25" s="19">
        <f t="shared" ref="P25:P28" si="6">X10</f>
        <v>39.108695652173914</v>
      </c>
    </row>
    <row r="26" spans="1:16" ht="14.25" customHeight="1" x14ac:dyDescent="0.2">
      <c r="A26" s="15">
        <v>44013</v>
      </c>
      <c r="B26" s="12">
        <v>3.5000000000000003E-2</v>
      </c>
      <c r="N26" s="15">
        <v>44013</v>
      </c>
      <c r="O26" s="19">
        <f t="shared" si="5"/>
        <v>110.14285714285714</v>
      </c>
      <c r="P26" s="19">
        <f t="shared" si="6"/>
        <v>42.80952380952381</v>
      </c>
    </row>
    <row r="27" spans="1:16" ht="14.25" customHeight="1" x14ac:dyDescent="0.2">
      <c r="A27" s="15">
        <v>44044</v>
      </c>
      <c r="B27" s="12">
        <v>3.7199999999999997E-2</v>
      </c>
      <c r="N27" s="15">
        <v>44044</v>
      </c>
      <c r="O27" s="19">
        <f t="shared" si="5"/>
        <v>117.65217391304348</v>
      </c>
      <c r="P27" s="19">
        <f t="shared" si="6"/>
        <v>49.608695652173914</v>
      </c>
    </row>
    <row r="28" spans="1:16" ht="14.25" customHeight="1" x14ac:dyDescent="0.2">
      <c r="A28" s="15">
        <v>44075</v>
      </c>
      <c r="B28" s="12">
        <v>3.5099999999999999E-2</v>
      </c>
      <c r="N28" s="15">
        <v>44075</v>
      </c>
      <c r="O28" s="19">
        <f t="shared" si="5"/>
        <v>120.02380952380952</v>
      </c>
      <c r="P28" s="19">
        <f t="shared" si="6"/>
        <v>53.285714285714285</v>
      </c>
    </row>
    <row r="29" spans="1:16" ht="14.25" customHeight="1" x14ac:dyDescent="0.2">
      <c r="N29" s="15"/>
    </row>
    <row r="30" spans="1:16" ht="14.25" customHeight="1" x14ac:dyDescent="0.2"/>
    <row r="31" spans="1:16" ht="14.25" customHeight="1" x14ac:dyDescent="0.2"/>
    <row r="32" spans="1:16" ht="14.25" customHeight="1" x14ac:dyDescent="0.2"/>
    <row r="33" spans="1:18" ht="14.25" customHeight="1" x14ac:dyDescent="0.2"/>
    <row r="34" spans="1:18" ht="14.25" customHeight="1" x14ac:dyDescent="0.2"/>
    <row r="35" spans="1:18" ht="14.25" customHeight="1" x14ac:dyDescent="0.2">
      <c r="N35" s="2" t="s">
        <v>59</v>
      </c>
      <c r="O35" s="13" t="s">
        <v>60</v>
      </c>
      <c r="P35" s="20" t="s">
        <v>61</v>
      </c>
      <c r="Q35" s="13" t="s">
        <v>62</v>
      </c>
      <c r="R35" s="20" t="s">
        <v>63</v>
      </c>
    </row>
    <row r="36" spans="1:18" ht="14.25" customHeight="1" x14ac:dyDescent="0.2">
      <c r="A36" s="2" t="s">
        <v>59</v>
      </c>
      <c r="B36" s="3" t="s">
        <v>22</v>
      </c>
      <c r="N36" s="15">
        <v>43800</v>
      </c>
      <c r="O36" s="18">
        <v>1127</v>
      </c>
      <c r="P36" s="21">
        <f t="shared" ref="P36:P45" si="7">O36/T4</f>
        <v>0.50891849175886206</v>
      </c>
      <c r="Q36" s="20">
        <f t="shared" ref="Q36:Q45" si="8">J4+N4</f>
        <v>752.5</v>
      </c>
      <c r="R36" s="21">
        <f t="shared" ref="R36:R45" si="9">Q36/T4</f>
        <v>0.33980582524271846</v>
      </c>
    </row>
    <row r="37" spans="1:18" ht="14.25" customHeight="1" x14ac:dyDescent="0.2">
      <c r="A37" s="15">
        <v>43800</v>
      </c>
      <c r="B37" s="16">
        <v>2582</v>
      </c>
      <c r="N37" s="15">
        <v>43831</v>
      </c>
      <c r="O37" s="18">
        <v>973.5</v>
      </c>
      <c r="P37" s="21">
        <f t="shared" si="7"/>
        <v>0.48372670807453416</v>
      </c>
      <c r="Q37" s="20">
        <f t="shared" si="8"/>
        <v>651</v>
      </c>
      <c r="R37" s="21">
        <f t="shared" si="9"/>
        <v>0.32347826086956522</v>
      </c>
    </row>
    <row r="38" spans="1:18" ht="14.25" customHeight="1" x14ac:dyDescent="0.2">
      <c r="A38" s="15">
        <v>43831</v>
      </c>
      <c r="B38" s="16">
        <v>2591</v>
      </c>
      <c r="N38" s="15">
        <v>43862</v>
      </c>
      <c r="O38" s="20">
        <v>863.5</v>
      </c>
      <c r="P38" s="21">
        <f t="shared" si="7"/>
        <v>0.39402235911476158</v>
      </c>
      <c r="Q38" s="20">
        <f t="shared" si="8"/>
        <v>840</v>
      </c>
      <c r="R38" s="21">
        <f t="shared" si="9"/>
        <v>0.38329911019849416</v>
      </c>
    </row>
    <row r="39" spans="1:18" ht="14.25" customHeight="1" x14ac:dyDescent="0.2">
      <c r="A39" s="15">
        <v>43862</v>
      </c>
      <c r="B39" s="16">
        <v>2594</v>
      </c>
      <c r="N39" s="15">
        <v>43891</v>
      </c>
      <c r="O39" s="20">
        <v>928.5</v>
      </c>
      <c r="P39" s="21">
        <f t="shared" si="7"/>
        <v>0.4054585152838428</v>
      </c>
      <c r="Q39" s="20">
        <f t="shared" si="8"/>
        <v>756</v>
      </c>
      <c r="R39" s="21">
        <f t="shared" si="9"/>
        <v>0.33013100436681225</v>
      </c>
    </row>
    <row r="40" spans="1:18" ht="14.25" customHeight="1" x14ac:dyDescent="0.2">
      <c r="A40" s="15">
        <v>43891</v>
      </c>
      <c r="B40" s="16">
        <v>2669</v>
      </c>
      <c r="N40" s="15">
        <v>43922</v>
      </c>
      <c r="O40" s="20">
        <v>713</v>
      </c>
      <c r="P40" s="21">
        <f t="shared" si="7"/>
        <v>0.32933025404157046</v>
      </c>
      <c r="Q40" s="20">
        <f t="shared" si="8"/>
        <v>711</v>
      </c>
      <c r="R40" s="21">
        <f t="shared" si="9"/>
        <v>0.32840646651270206</v>
      </c>
    </row>
    <row r="41" spans="1:18" ht="14.25" customHeight="1" x14ac:dyDescent="0.2">
      <c r="A41" s="15">
        <v>43922</v>
      </c>
      <c r="B41" s="16">
        <v>2744</v>
      </c>
      <c r="N41" s="15">
        <v>43952</v>
      </c>
      <c r="O41" s="20">
        <v>544</v>
      </c>
      <c r="P41" s="21">
        <f t="shared" si="7"/>
        <v>0.34905357715752328</v>
      </c>
      <c r="Q41" s="20">
        <f t="shared" si="8"/>
        <v>575.5</v>
      </c>
      <c r="R41" s="21">
        <f t="shared" si="9"/>
        <v>0.36926531921719602</v>
      </c>
    </row>
    <row r="42" spans="1:18" ht="14.25" customHeight="1" x14ac:dyDescent="0.2">
      <c r="A42" s="15">
        <v>43952</v>
      </c>
      <c r="B42" s="16">
        <v>2738</v>
      </c>
      <c r="N42" s="15">
        <v>43983</v>
      </c>
      <c r="O42" s="20">
        <v>1180.5</v>
      </c>
      <c r="P42" s="21">
        <f t="shared" si="7"/>
        <v>0.47562449637389204</v>
      </c>
      <c r="Q42" s="20">
        <f t="shared" si="8"/>
        <v>743.5</v>
      </c>
      <c r="R42" s="21">
        <f t="shared" si="9"/>
        <v>0.29955680902497983</v>
      </c>
    </row>
    <row r="43" spans="1:18" ht="14.25" customHeight="1" x14ac:dyDescent="0.2">
      <c r="A43" s="15">
        <v>43983</v>
      </c>
      <c r="B43" s="16">
        <v>3143</v>
      </c>
      <c r="N43" s="15">
        <v>44013</v>
      </c>
      <c r="O43" s="20">
        <v>1047.5</v>
      </c>
      <c r="P43" s="21">
        <f t="shared" si="7"/>
        <v>0.45287505404236922</v>
      </c>
      <c r="Q43" s="20">
        <f t="shared" si="8"/>
        <v>722</v>
      </c>
      <c r="R43" s="21">
        <f t="shared" si="9"/>
        <v>0.31214872460008647</v>
      </c>
    </row>
    <row r="44" spans="1:18" ht="14.25" customHeight="1" x14ac:dyDescent="0.2">
      <c r="A44" s="15">
        <v>44013</v>
      </c>
      <c r="B44" s="16">
        <v>3162</v>
      </c>
      <c r="N44" s="15">
        <v>44044</v>
      </c>
      <c r="O44" s="20">
        <v>1195.5</v>
      </c>
      <c r="P44" s="21">
        <f t="shared" si="7"/>
        <v>0.44179600886917958</v>
      </c>
      <c r="Q44" s="20">
        <f t="shared" si="8"/>
        <v>1004</v>
      </c>
      <c r="R44" s="21">
        <f t="shared" si="9"/>
        <v>0.37102734663710274</v>
      </c>
    </row>
    <row r="45" spans="1:18" ht="14.25" customHeight="1" x14ac:dyDescent="0.2">
      <c r="A45" s="15">
        <v>44044</v>
      </c>
      <c r="B45" s="16">
        <v>3163</v>
      </c>
      <c r="N45" s="15">
        <v>44075</v>
      </c>
      <c r="O45" s="20">
        <v>1134</v>
      </c>
      <c r="P45" s="21">
        <f t="shared" si="7"/>
        <v>0.4499107319976195</v>
      </c>
      <c r="Q45" s="20">
        <f t="shared" si="8"/>
        <v>997</v>
      </c>
      <c r="R45" s="21">
        <f t="shared" si="9"/>
        <v>0.39555643721483835</v>
      </c>
    </row>
    <row r="46" spans="1:18" ht="14.25" customHeight="1" x14ac:dyDescent="0.2">
      <c r="A46" s="15">
        <v>44075</v>
      </c>
      <c r="B46" s="16">
        <v>3425</v>
      </c>
    </row>
    <row r="47" spans="1:18" ht="14.25" customHeight="1" x14ac:dyDescent="0.2"/>
    <row r="48" spans="1:18" ht="14.25" customHeight="1" x14ac:dyDescent="0.2"/>
    <row r="49" spans="14:15" ht="14.25" customHeight="1" x14ac:dyDescent="0.2"/>
    <row r="50" spans="14:15" ht="14.25" customHeight="1" x14ac:dyDescent="0.2"/>
    <row r="51" spans="14:15" ht="14.25" customHeight="1" x14ac:dyDescent="0.2"/>
    <row r="52" spans="14:15" ht="14.25" customHeight="1" x14ac:dyDescent="0.2">
      <c r="N52" s="2" t="s">
        <v>59</v>
      </c>
      <c r="O52" s="20" t="s">
        <v>64</v>
      </c>
    </row>
    <row r="53" spans="14:15" ht="14.25" customHeight="1" x14ac:dyDescent="0.2">
      <c r="N53" s="15">
        <v>43800</v>
      </c>
      <c r="O53" s="25">
        <v>3.73E-2</v>
      </c>
    </row>
    <row r="54" spans="14:15" ht="14.25" customHeight="1" x14ac:dyDescent="0.2">
      <c r="N54" s="15">
        <v>43831</v>
      </c>
      <c r="O54" s="25">
        <v>4.1500000000000002E-2</v>
      </c>
    </row>
    <row r="55" spans="14:15" ht="14.25" customHeight="1" x14ac:dyDescent="0.2">
      <c r="N55" s="15">
        <v>43862</v>
      </c>
      <c r="O55" s="25">
        <v>3.6900000000000002E-2</v>
      </c>
    </row>
    <row r="56" spans="14:15" ht="14.25" customHeight="1" x14ac:dyDescent="0.2">
      <c r="N56" s="15">
        <v>43891</v>
      </c>
      <c r="O56" s="25">
        <v>3.85E-2</v>
      </c>
    </row>
    <row r="57" spans="14:15" ht="14.25" customHeight="1" x14ac:dyDescent="0.2">
      <c r="N57" s="15">
        <v>43922</v>
      </c>
      <c r="O57" s="25">
        <v>3.4500000000000003E-2</v>
      </c>
    </row>
    <row r="58" spans="14:15" ht="14.25" customHeight="1" x14ac:dyDescent="0.2">
      <c r="N58" s="15">
        <v>43952</v>
      </c>
      <c r="O58" s="25">
        <v>2.7099999999999999E-2</v>
      </c>
    </row>
    <row r="59" spans="14:15" ht="14.25" customHeight="1" x14ac:dyDescent="0.2">
      <c r="N59" s="15">
        <v>43983</v>
      </c>
      <c r="O59" s="25">
        <v>3.44E-2</v>
      </c>
    </row>
    <row r="60" spans="14:15" ht="14.25" customHeight="1" x14ac:dyDescent="0.2">
      <c r="N60" s="15">
        <v>44013</v>
      </c>
      <c r="O60" s="25">
        <v>3.5000000000000003E-2</v>
      </c>
    </row>
    <row r="61" spans="14:15" ht="14.25" customHeight="1" x14ac:dyDescent="0.2">
      <c r="N61" s="15">
        <v>44044</v>
      </c>
      <c r="O61" s="25">
        <v>3.7199999999999997E-2</v>
      </c>
    </row>
    <row r="62" spans="14:15" ht="14.25" customHeight="1" x14ac:dyDescent="0.2">
      <c r="N62" s="15">
        <v>44075</v>
      </c>
      <c r="O62" s="25">
        <v>3.5099999999999999E-2</v>
      </c>
    </row>
    <row r="63" spans="14:15" ht="14.25" customHeight="1" x14ac:dyDescent="0.2"/>
    <row r="64" spans="14:15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pageMargins left="0.7" right="0.7" top="0.75" bottom="0.75" header="0" footer="0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bpt3682</dc:creator>
  <cp:lastModifiedBy>bpt3682</cp:lastModifiedBy>
  <dcterms:created xsi:type="dcterms:W3CDTF">2026-03-27T02:01:15Z</dcterms:created>
  <dcterms:modified xsi:type="dcterms:W3CDTF">2026-03-27T02:31:00Z</dcterms:modified>
</cp:coreProperties>
</file>